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sharedStrings.xml" ContentType="application/vnd.openxmlformats-officedocument.spreadsheetml.sharedStrings+xml"/>
  <Override PartName="/xl/media/image1.jpeg" ContentType="image/jpeg"/>
  <Override PartName="/xl/media/image2.jpeg" ContentType="image/jpeg"/>
  <Override PartName="/xl/media/image3.jpeg" ContentType="image/jpeg"/>
  <Override PartName="/xl/media/image4.jpeg" ContentType="image/jpeg"/>
  <Override PartName="/xl/media/image5.jpeg" ContentType="image/jpeg"/>
  <Override PartName="/xl/media/image6.jpeg" ContentType="image/jpeg"/>
  <Override PartName="/xl/media/image7.jpeg" ContentType="image/jpe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_rels/drawing3.xml.rels" ContentType="application/vnd.openxmlformats-package.relationships+xml"/>
  <Override PartName="/xl/drawings/_rels/drawing4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7.xml.rels" ContentType="application/vnd.openxmlformats-package.relationships+xml"/>
  <Override PartName="/xl/drawings/drawing7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forma" sheetId="1" state="visible" r:id="rId2"/>
    <sheet name="pedido" sheetId="2" state="visible" r:id="rId3"/>
    <sheet name="albaran" sheetId="3" state="visible" r:id="rId4"/>
    <sheet name="factura" sheetId="4" state="visible" r:id="rId5"/>
    <sheet name="Hoja Entrega Transporte" sheetId="5" state="visible" r:id="rId6"/>
    <sheet name="Carta de Portes" sheetId="6" state="visible" r:id="rId7"/>
    <sheet name="etiquetas envio" sheetId="7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<sst xmlns="http://schemas.openxmlformats.org/spreadsheetml/2006/main" count="256" uniqueCount="122">
  <si>
    <t xml:space="preserve">FACTURA PROFORMA:</t>
  </si>
  <si>
    <t xml:space="preserve">PROFORMA: 291225462RNM</t>
  </si>
  <si>
    <t xml:space="preserve">FECHA.26/12/2025</t>
  </si>
  <si>
    <t xml:space="preserve">Datos del Cliente:</t>
  </si>
  <si>
    <t xml:space="preserve">Nombre:</t>
  </si>
  <si>
    <t xml:space="preserve">GABRIEL PASCUAL CEREZO</t>
  </si>
  <si>
    <t xml:space="preserve">C.I.F:</t>
  </si>
  <si>
    <t xml:space="preserve">70247465Z</t>
  </si>
  <si>
    <t xml:space="preserve">Dirección:</t>
  </si>
  <si>
    <t xml:space="preserve">PLAZA TIRSO DE MOLINA 9,LOCAL TANTALOS</t>
  </si>
  <si>
    <t xml:space="preserve">C.P.:</t>
  </si>
  <si>
    <t xml:space="preserve">Ciudad:</t>
  </si>
  <si>
    <t xml:space="preserve">SEGOVIA</t>
  </si>
  <si>
    <t xml:space="preserve">Provincia:</t>
  </si>
  <si>
    <t xml:space="preserve">Pais:</t>
  </si>
  <si>
    <t xml:space="preserve">ESPAÑA</t>
  </si>
  <si>
    <t xml:space="preserve">Telf: </t>
  </si>
  <si>
    <t xml:space="preserve">Contacto:</t>
  </si>
  <si>
    <t xml:space="preserve">e -mail:</t>
  </si>
  <si>
    <t xml:space="preserve">gabi@tantalos.es</t>
  </si>
  <si>
    <t xml:space="preserve">Detalle de Conceptos:</t>
  </si>
  <si>
    <t xml:space="preserve">RESINAS 3D</t>
  </si>
  <si>
    <t xml:space="preserve">DENOMINACION</t>
  </si>
  <si>
    <t xml:space="preserve">Cant.Unit</t>
  </si>
  <si>
    <t xml:space="preserve">Precio €/U</t>
  </si>
  <si>
    <t xml:space="preserve">Total €</t>
  </si>
  <si>
    <t xml:space="preserve">SUB TOTAL BASE IMPONIBLE</t>
  </si>
  <si>
    <t xml:space="preserve">Descuento %</t>
  </si>
  <si>
    <t xml:space="preserve">ESPECIAL</t>
  </si>
  <si>
    <t xml:space="preserve">TOTAL BASE IMPONIBLE PINTURAS</t>
  </si>
  <si>
    <t xml:space="preserve">Portes Península</t>
  </si>
  <si>
    <t xml:space="preserve">Portes Minimos</t>
  </si>
  <si>
    <t xml:space="preserve">MANO DE OBRA</t>
  </si>
  <si>
    <t xml:space="preserve">Otros Varios</t>
  </si>
  <si>
    <t xml:space="preserve">TOTAL BASE IMPONIBLE</t>
  </si>
  <si>
    <t xml:space="preserve">21% IVA</t>
  </si>
  <si>
    <t xml:space="preserve">TOTAL FACTURA:</t>
  </si>
  <si>
    <t xml:space="preserve">Condiciones de Pago:</t>
  </si>
  <si>
    <t xml:space="preserve">Forma de Pago:</t>
  </si>
  <si>
    <t xml:space="preserve">Transferencia</t>
  </si>
  <si>
    <t xml:space="preserve">Banco/NºCta:</t>
  </si>
  <si>
    <t xml:space="preserve">Banco Sabadell  IBAN: ES14 0081 0286 8800 0184 3288</t>
  </si>
  <si>
    <t xml:space="preserve">Forma de Envio:</t>
  </si>
  <si>
    <t xml:space="preserve">portes pagados</t>
  </si>
  <si>
    <t xml:space="preserve">Vencimiento:</t>
  </si>
  <si>
    <t xml:space="preserve">NCHEMICALS RESINAS Y PINTURAS S.L.U.</t>
  </si>
  <si>
    <t xml:space="preserve">C/Cantueso 44</t>
  </si>
  <si>
    <t xml:space="preserve">TF:+34 633 48 00 92</t>
  </si>
  <si>
    <t xml:space="preserve">03600 ELDA (ALICANTE) – ESPAÑA</t>
  </si>
  <si>
    <t xml:space="preserve">C.I.F.: B16885279</t>
  </si>
  <si>
    <t xml:space="preserve">E-mail: hola@nchemicals.es</t>
  </si>
  <si>
    <t xml:space="preserve">suelosderesina@gmail.com</t>
  </si>
  <si>
    <t xml:space="preserve">PEDIDO:</t>
  </si>
  <si>
    <t xml:space="preserve">RELLENAR ENCIMA SI LA DIRECCION DE ENVIO ES DIFERENTE A LA DIRECCION DEL CLIENTE</t>
  </si>
  <si>
    <t xml:space="preserve">Datos del Envio:</t>
  </si>
  <si>
    <t xml:space="preserve">PESO NETO:</t>
  </si>
  <si>
    <t xml:space="preserve">PESO BRUTO :</t>
  </si>
  <si>
    <t xml:space="preserve">TOTAL BULTOS:</t>
  </si>
  <si>
    <t xml:space="preserve">PORTES:</t>
  </si>
  <si>
    <t xml:space="preserve">PAGADOS</t>
  </si>
  <si>
    <t xml:space="preserve">C/ Cantueso 34</t>
  </si>
  <si>
    <t xml:space="preserve">ALBARAN ENTREGA:</t>
  </si>
  <si>
    <t xml:space="preserve">c/cantueso 44</t>
  </si>
  <si>
    <t xml:space="preserve">FACTURA:</t>
  </si>
  <si>
    <t xml:space="preserve">Nº:</t>
  </si>
  <si>
    <t xml:space="preserve">Según Proforma</t>
  </si>
  <si>
    <t xml:space="preserve">Factura:</t>
  </si>
  <si>
    <t xml:space="preserve">Hoja de Entrega al Transportista:</t>
  </si>
  <si>
    <t xml:space="preserve">Entregamos al transportista :</t>
  </si>
  <si>
    <t xml:space="preserve">SCHENKER S.AU.</t>
  </si>
  <si>
    <t xml:space="preserve">de:</t>
  </si>
  <si>
    <t xml:space="preserve">ELDA(ALICANTE)</t>
  </si>
  <si>
    <t xml:space="preserve">la siguiente mercancia que abajo detallamos:</t>
  </si>
  <si>
    <t xml:space="preserve">Total de Bultos:</t>
  </si>
  <si>
    <t xml:space="preserve">Peso Neto(kg):</t>
  </si>
  <si>
    <t xml:space="preserve">Peso Bruto(Kg)</t>
  </si>
  <si>
    <t xml:space="preserve">Cubicaje (m3):</t>
  </si>
  <si>
    <t xml:space="preserve">Portes:</t>
  </si>
  <si>
    <t xml:space="preserve">Direccion de Envio:</t>
  </si>
  <si>
    <t xml:space="preserve">Observaciones:</t>
  </si>
  <si>
    <t xml:space="preserve">MERCANCIA NO SOMETIDA A LA CLASE 3</t>
  </si>
  <si>
    <t xml:space="preserve">Según marginal 2314 apartado 2 esta mercancía no esta sometida a la clase 3</t>
  </si>
  <si>
    <t xml:space="preserve">Mercancía clasificada como no peligrosa para el transporte por carretera</t>
  </si>
  <si>
    <t xml:space="preserve">NCHEMICALS PINTURAS Y RESINAS S.L. como propietario remitente de la mercancia CERTIFICA:</t>
  </si>
  <si>
    <t xml:space="preserve">*  Que los porductos del presente envio se ajustan estrictamente a los datos aquí reseñados.</t>
  </si>
  <si>
    <t xml:space="preserve">* Que las mercancías se encuentran en perfecto estado en el momento de su carga.</t>
  </si>
  <si>
    <t xml:space="preserve">Conformidad Transportista:</t>
  </si>
  <si>
    <t xml:space="preserve">                      NCHEMICALS PINTURAS Y RESINAS S.L.</t>
  </si>
  <si>
    <t xml:space="preserve">                             Un gerente</t>
  </si>
  <si>
    <t xml:space="preserve">Carta de Porte</t>
  </si>
  <si>
    <t xml:space="preserve">Carta de Portes correspondiente a nuestra factura:</t>
  </si>
  <si>
    <t xml:space="preserve">Destino:</t>
  </si>
  <si>
    <t xml:space="preserve">Nombre del Transportista:</t>
  </si>
  <si>
    <t xml:space="preserve">Matriucla del Vehiculo:</t>
  </si>
  <si>
    <t xml:space="preserve">Tek Lacke Chemie,S.L. certifica que estas mercancías se admiten al transporte por carretera y que su estado,</t>
  </si>
  <si>
    <t xml:space="preserve">acondicionamiento y etiquetaje, están de acuerdo con las disposiciones del ADR/RD 2115/1998</t>
  </si>
  <si>
    <t xml:space="preserve">El Abajo firmante declara:</t>
  </si>
  <si>
    <t xml:space="preserve">1.- Que el vehículo cargado cumple con las condiciones que establece el Reglamento </t>
  </si>
  <si>
    <t xml:space="preserve">Nacional para el Transporte de Mercancías Peligrosas por Carretera./</t>
  </si>
  <si>
    <t xml:space="preserve">2.- Haberse realizado correctamente la carga y estiba de las mercancías.</t>
  </si>
  <si>
    <t xml:space="preserve">3.- Haber recibido de NCHEMICALS PINTURAS Y RESINAS S.L., las hojas de instrucciones escritas respecto a:</t>
  </si>
  <si>
    <t xml:space="preserve">La naturaleza y peligro de las mercancías a transportar.</t>
  </si>
  <si>
    <t xml:space="preserve">Las medidas a adoptar en caso de accidente, incendio o rotura de envases, </t>
  </si>
  <si>
    <t xml:space="preserve">todas las cuales conozco.</t>
  </si>
  <si>
    <t xml:space="preserve">4.- Conocer las disposiciones generales y especiales sobre vehículos; carga, descarga</t>
  </si>
  <si>
    <t xml:space="preserve">, manipulación y circulación de las mercancías que establece el citado Reglamento. </t>
  </si>
  <si>
    <t xml:space="preserve">Firma del Transportista:</t>
  </si>
  <si>
    <t xml:space="preserve">Firma del Expedidor:</t>
  </si>
  <si>
    <t xml:space="preserve">Nombre</t>
  </si>
  <si>
    <t xml:space="preserve">DNI:</t>
  </si>
  <si>
    <t xml:space="preserve">Relación de mercancías transportadas y clasificadas según ADR</t>
  </si>
  <si>
    <t xml:space="preserve">Mercancias</t>
  </si>
  <si>
    <t xml:space="preserve">NºOnu</t>
  </si>
  <si>
    <t xml:space="preserve">Clasificación</t>
  </si>
  <si>
    <t xml:space="preserve">Pinturas</t>
  </si>
  <si>
    <t xml:space="preserve">UN 1263</t>
  </si>
  <si>
    <t xml:space="preserve">seguna marginal 2314 apartado 2 esta mercancia no está sometida a la clase 3</t>
  </si>
  <si>
    <t xml:space="preserve">Mercancia clasificada como no èligrosa para el transporte por carretera</t>
  </si>
  <si>
    <t xml:space="preserve">Nº DE BULTOS:</t>
  </si>
  <si>
    <t xml:space="preserve">BULTOS Nº:</t>
  </si>
  <si>
    <t xml:space="preserve">PESO NETO(Kg):</t>
  </si>
  <si>
    <t xml:space="preserve">PESO BRUTO(Kg):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</si>
</sst>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@"/>
    <numFmt numFmtId="167" formatCode="00000"/>
    <numFmt numFmtId="168" formatCode="0.00"/>
    <numFmt numFmtId="169" formatCode="#,##0"/>
    <numFmt numFmtId="170" formatCode="dd/mmm"/>
    <numFmt numFmtId="171" formatCode="General"/>
    <numFmt numFmtId="172" formatCode="dd/mm/yyyy"/>
  </numFmts>
  <fonts count="4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b val="true"/>
      <sz val="20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b val="true"/>
      <sz val="18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 val="true"/>
      <sz val="12"/>
      <color rgb="FF333333"/>
      <name val="Arial"/>
      <family val="2"/>
      <charset val="1"/>
    </font>
    <font>
      <sz val="12"/>
      <color rgb="FF000000"/>
      <name val="Century Gothic"/>
      <family val="2"/>
      <charset val="1"/>
    </font>
    <font>
      <b val="true"/>
      <sz val="14"/>
      <color rgb="FF000000"/>
      <name val="Calibri"/>
      <family val="2"/>
      <charset val="1"/>
    </font>
    <font>
      <u val="single"/>
      <sz val="11"/>
      <color rgb="FF0000FF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0"/>
      <name val="Arial"/>
      <family val="2"/>
      <charset val="1"/>
    </font>
    <font>
      <b val="true"/>
      <sz val="12"/>
      <color rgb="FF000000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name val="Arial"/>
      <family val="2"/>
      <charset val="1"/>
    </font>
    <font>
      <sz val="12"/>
      <color rgb="FFFF0000"/>
      <name val="Calibri"/>
      <family val="2"/>
      <charset val="1"/>
    </font>
    <font>
      <b val="true"/>
      <u val="single"/>
      <sz val="12"/>
      <name val="Arial"/>
      <family val="2"/>
      <charset val="1"/>
    </font>
    <font>
      <b val="true"/>
      <sz val="14"/>
      <color rgb="FFFF0000"/>
      <name val="Calibri"/>
      <family val="2"/>
      <charset val="1"/>
    </font>
    <font>
      <sz val="16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2"/>
      <color rgb="FF003366"/>
      <name val="Calibri"/>
      <family val="2"/>
      <charset val="1"/>
    </font>
    <font>
      <b val="true"/>
      <sz val="20"/>
      <name val="Calibri"/>
      <family val="2"/>
      <charset val="1"/>
    </font>
    <font>
      <sz val="12"/>
      <name val="Calibri"/>
      <family val="2"/>
      <charset val="1"/>
    </font>
    <font>
      <b val="true"/>
      <sz val="16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8"/>
      <name val="Calibri"/>
      <family val="2"/>
      <charset val="1"/>
    </font>
    <font>
      <sz val="14"/>
      <name val="Calibri"/>
      <family val="2"/>
      <charset val="1"/>
    </font>
    <font>
      <b val="true"/>
      <sz val="14"/>
      <name val="Calibri"/>
      <family val="2"/>
      <charset val="1"/>
    </font>
    <font>
      <sz val="14"/>
      <color rgb="FF003366"/>
      <name val="Calibri"/>
      <family val="2"/>
      <charset val="1"/>
    </font>
    <font>
      <sz val="16"/>
      <color rgb="FF003366"/>
      <name val="Calibri"/>
      <family val="2"/>
      <charset val="1"/>
    </font>
    <font>
      <sz val="11"/>
      <name val="Calibri"/>
      <family val="2"/>
      <charset val="1"/>
    </font>
    <font>
      <sz val="11"/>
      <color rgb="FF0000FF"/>
      <name val="Calibri"/>
      <family val="2"/>
      <charset val="1"/>
    </font>
    <font>
      <sz val="12"/>
      <color rgb="FF0000FF"/>
      <name val="Calibri"/>
      <family val="2"/>
      <charset val="1"/>
    </font>
    <font>
      <b val="true"/>
      <sz val="24"/>
      <name val="Calibri"/>
      <family val="2"/>
      <charset val="1"/>
    </font>
    <font>
      <b val="true"/>
      <sz val="22"/>
      <name val="Calibri"/>
      <family val="2"/>
      <charset val="1"/>
    </font>
    <font>
      <b val="true"/>
      <sz val="14"/>
      <name val="Arial"/>
      <family val="2"/>
      <charset val="1"/>
    </font>
    <font>
      <b val="true"/>
      <sz val="8"/>
      <name val="Arial"/>
      <family val="2"/>
      <charset val="1"/>
    </font>
    <font>
      <sz val="11"/>
      <color rgb="FF003366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28"/>
      <color rgb="FFFFFFFF"/>
      <name val="Calibri"/>
      <family val="2"/>
      <charset val="1"/>
    </font>
    <font>
      <sz val="16"/>
      <name val="Calibri"/>
      <family val="2"/>
      <charset val="1"/>
    </font>
    <font>
      <sz val="24"/>
      <name val="Calibri"/>
      <family val="2"/>
      <charset val="1"/>
    </font>
    <font>
      <b val="true"/>
      <sz val="26"/>
      <name val="Calibri"/>
      <family val="2"/>
      <charset val="1"/>
    </font>
    <font>
      <sz val="1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000000"/>
        <bgColor rgb="FF0033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31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2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5" fillId="3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3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jpe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jpe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jpe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jpe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jpe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jpe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9360</xdr:colOff>
      <xdr:row>1</xdr:row>
      <xdr:rowOff>66600</xdr:rowOff>
    </xdr:from>
    <xdr:to>
      <xdr:col>2</xdr:col>
      <xdr:colOff>380520</xdr:colOff>
      <xdr:row>5</xdr:row>
      <xdr:rowOff>161640</xdr:rowOff>
    </xdr:to>
    <xdr:pic>
      <xdr:nvPicPr>
        <xdr:cNvPr id="0" name="Imagen 1" descr=""/>
        <xdr:cNvPicPr/>
      </xdr:nvPicPr>
      <xdr:blipFill>
        <a:blip r:embed="rId1"/>
        <a:stretch/>
      </xdr:blipFill>
      <xdr:spPr>
        <a:xfrm>
          <a:off x="231120" y="266760"/>
          <a:ext cx="2215800" cy="1123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0</xdr:colOff>
      <xdr:row>1</xdr:row>
      <xdr:rowOff>0</xdr:rowOff>
    </xdr:from>
    <xdr:to>
      <xdr:col>2</xdr:col>
      <xdr:colOff>323640</xdr:colOff>
      <xdr:row>5</xdr:row>
      <xdr:rowOff>85320</xdr:rowOff>
    </xdr:to>
    <xdr:pic>
      <xdr:nvPicPr>
        <xdr:cNvPr id="1" name="Imagen 1" descr=""/>
        <xdr:cNvPicPr/>
      </xdr:nvPicPr>
      <xdr:blipFill>
        <a:blip r:embed="rId1"/>
        <a:stretch/>
      </xdr:blipFill>
      <xdr:spPr>
        <a:xfrm>
          <a:off x="221760" y="200160"/>
          <a:ext cx="1795320" cy="108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0</xdr:colOff>
      <xdr:row>0</xdr:row>
      <xdr:rowOff>66600</xdr:rowOff>
    </xdr:from>
    <xdr:to>
      <xdr:col>2</xdr:col>
      <xdr:colOff>304560</xdr:colOff>
      <xdr:row>4</xdr:row>
      <xdr:rowOff>237600</xdr:rowOff>
    </xdr:to>
    <xdr:pic>
      <xdr:nvPicPr>
        <xdr:cNvPr id="2" name="Imagen 1" descr=""/>
        <xdr:cNvPicPr/>
      </xdr:nvPicPr>
      <xdr:blipFill>
        <a:blip r:embed="rId1"/>
        <a:stretch/>
      </xdr:blipFill>
      <xdr:spPr>
        <a:xfrm>
          <a:off x="221760" y="66600"/>
          <a:ext cx="1776240" cy="110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0</xdr:colOff>
      <xdr:row>1</xdr:row>
      <xdr:rowOff>85680</xdr:rowOff>
    </xdr:from>
    <xdr:to>
      <xdr:col>2</xdr:col>
      <xdr:colOff>304560</xdr:colOff>
      <xdr:row>5</xdr:row>
      <xdr:rowOff>199800</xdr:rowOff>
    </xdr:to>
    <xdr:pic>
      <xdr:nvPicPr>
        <xdr:cNvPr id="3" name="Imagen 1" descr=""/>
        <xdr:cNvPicPr/>
      </xdr:nvPicPr>
      <xdr:blipFill>
        <a:blip r:embed="rId1"/>
        <a:stretch/>
      </xdr:blipFill>
      <xdr:spPr>
        <a:xfrm>
          <a:off x="221760" y="285840"/>
          <a:ext cx="1776240" cy="1114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</xdr:col>
      <xdr:colOff>428760</xdr:colOff>
      <xdr:row>46</xdr:row>
      <xdr:rowOff>0</xdr:rowOff>
    </xdr:from>
    <xdr:to>
      <xdr:col>4</xdr:col>
      <xdr:colOff>504720</xdr:colOff>
      <xdr:row>46</xdr:row>
      <xdr:rowOff>37800</xdr:rowOff>
    </xdr:to>
    <xdr:sp>
      <xdr:nvSpPr>
        <xdr:cNvPr id="4" name="4 CuadroTexto"/>
        <xdr:cNvSpPr/>
      </xdr:nvSpPr>
      <xdr:spPr>
        <a:xfrm>
          <a:off x="6163560" y="10782360"/>
          <a:ext cx="75960" cy="37800"/>
        </a:xfrm>
        <a:prstGeom prst="rect">
          <a:avLst/>
        </a:prstGeom>
        <a:solidFill>
          <a:srgbClr val="ffffff"/>
        </a:solidFill>
        <a:ln cap="sq" w="9360">
          <a:solidFill>
            <a:srgbClr val="bcbcbc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twoCell">
    <xdr:from>
      <xdr:col>1</xdr:col>
      <xdr:colOff>0</xdr:colOff>
      <xdr:row>0</xdr:row>
      <xdr:rowOff>0</xdr:rowOff>
    </xdr:from>
    <xdr:to>
      <xdr:col>1</xdr:col>
      <xdr:colOff>1723680</xdr:colOff>
      <xdr:row>4</xdr:row>
      <xdr:rowOff>85320</xdr:rowOff>
    </xdr:to>
    <xdr:pic>
      <xdr:nvPicPr>
        <xdr:cNvPr id="5" name="Imagen 2" descr=""/>
        <xdr:cNvPicPr/>
      </xdr:nvPicPr>
      <xdr:blipFill>
        <a:blip r:embed="rId1"/>
        <a:stretch/>
      </xdr:blipFill>
      <xdr:spPr>
        <a:xfrm>
          <a:off x="221760" y="0"/>
          <a:ext cx="1723680" cy="108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0</xdr:colOff>
      <xdr:row>0</xdr:row>
      <xdr:rowOff>0</xdr:rowOff>
    </xdr:from>
    <xdr:to>
      <xdr:col>2</xdr:col>
      <xdr:colOff>256680</xdr:colOff>
      <xdr:row>5</xdr:row>
      <xdr:rowOff>151920</xdr:rowOff>
    </xdr:to>
    <xdr:pic>
      <xdr:nvPicPr>
        <xdr:cNvPr id="6" name="Imagen 1" descr=""/>
        <xdr:cNvPicPr/>
      </xdr:nvPicPr>
      <xdr:blipFill>
        <a:blip r:embed="rId1"/>
        <a:stretch/>
      </xdr:blipFill>
      <xdr:spPr>
        <a:xfrm>
          <a:off x="0" y="0"/>
          <a:ext cx="1868400" cy="1104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1</xdr:col>
      <xdr:colOff>923760</xdr:colOff>
      <xdr:row>15</xdr:row>
      <xdr:rowOff>9360</xdr:rowOff>
    </xdr:from>
    <xdr:to>
      <xdr:col>3</xdr:col>
      <xdr:colOff>923400</xdr:colOff>
      <xdr:row>24</xdr:row>
      <xdr:rowOff>9000</xdr:rowOff>
    </xdr:to>
    <xdr:pic>
      <xdr:nvPicPr>
        <xdr:cNvPr id="7" name="Imagen 2" descr=""/>
        <xdr:cNvPicPr/>
      </xdr:nvPicPr>
      <xdr:blipFill>
        <a:blip r:embed="rId1"/>
        <a:stretch/>
      </xdr:blipFill>
      <xdr:spPr>
        <a:xfrm>
          <a:off x="1276920" y="4257360"/>
          <a:ext cx="4757040" cy="171432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gabi@tantalos.es" TargetMode="External"/><Relationship Id="rId2" Type="http://schemas.openxmlformats.org/officeDocument/2006/relationships/hyperlink" Target="mailto:hola@nchemicals.es" TargetMode="External"/><Relationship Id="rId3" Type="http://schemas.openxmlformats.org/officeDocument/2006/relationships/hyperlink" Target="mailto:suelosderesina@gmail.com" TargetMode="External"/><Relationship Id="rId4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hola@nchemicals.es" TargetMode="External"/><Relationship Id="rId2" Type="http://schemas.openxmlformats.org/officeDocument/2006/relationships/hyperlink" Target="mailto:suelosderesina@gmail.com" TargetMode="External"/><Relationship Id="rId3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hola@nchemicals.es" TargetMode="External"/><Relationship Id="rId2" Type="http://schemas.openxmlformats.org/officeDocument/2006/relationships/hyperlink" Target="mailto:suelosderesina@gmail.com" TargetMode="External"/><Relationship Id="rId3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mailto:hola@nchemicals.es" TargetMode="External"/><Relationship Id="rId2" Type="http://schemas.openxmlformats.org/officeDocument/2006/relationships/hyperlink" Target="mailto:suelosderesina@gmail.com" TargetMode="External"/><Relationship Id="rId3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mailto:hola@nchemicals.es" TargetMode="External"/><Relationship Id="rId2" Type="http://schemas.openxmlformats.org/officeDocument/2006/relationships/hyperlink" Target="mailto:suelosderesina@gmail.com" TargetMode="External"/><Relationship Id="rId3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4:J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11.43359375" defaultRowHeight="15.75" zeroHeight="false" outlineLevelRow="0" outlineLevelCol="0"/>
  <cols>
    <col collapsed="false" customWidth="true" hidden="false" outlineLevel="0" max="1" min="1" style="1" width="3.14"/>
    <col collapsed="false" customWidth="true" hidden="false" outlineLevel="0" max="2" min="2" style="1" width="26.14"/>
    <col collapsed="false" customWidth="true" hidden="false" outlineLevel="0" max="3" min="3" style="1" width="56.14"/>
    <col collapsed="false" customWidth="true" hidden="false" outlineLevel="0" max="4" min="4" style="1" width="10.85"/>
    <col collapsed="false" customWidth="true" hidden="false" outlineLevel="0" max="5" min="5" style="2" width="23.57"/>
    <col collapsed="false" customWidth="true" hidden="false" outlineLevel="0" max="6" min="6" style="2" width="13.01"/>
    <col collapsed="false" customWidth="true" hidden="false" outlineLevel="0" max="7" min="7" style="1" width="6.86"/>
    <col collapsed="false" customWidth="false" hidden="false" outlineLevel="0" max="1024" min="8" style="1" width="11.42"/>
  </cols>
  <sheetData>
    <row r="4" customFormat="false" ht="26.25" hidden="false" customHeight="false" outlineLevel="0" collapsed="false">
      <c r="D4" s="3" t="s">
        <v>0</v>
      </c>
    </row>
    <row r="5" customFormat="false" ht="23.25" hidden="false" customHeight="false" outlineLevel="0" collapsed="false">
      <c r="D5" s="4" t="s">
        <v>1</v>
      </c>
      <c r="E5" s="5"/>
    </row>
    <row r="6" customFormat="false" ht="21" hidden="false" customHeight="false" outlineLevel="0" collapsed="false">
      <c r="D6" s="4" t="s">
        <v>2</v>
      </c>
    </row>
    <row r="8" customFormat="false" ht="23.25" hidden="false" customHeight="false" outlineLevel="0" collapsed="false">
      <c r="B8" s="6" t="s">
        <v>3</v>
      </c>
      <c r="C8" s="4"/>
    </row>
    <row r="9" customFormat="false" ht="18.75" hidden="false" customHeight="false" outlineLevel="0" collapsed="false">
      <c r="B9" s="7" t="s">
        <v>4</v>
      </c>
      <c r="C9" s="8" t="s">
        <v>5</v>
      </c>
      <c r="D9" s="7" t="s">
        <v>6</v>
      </c>
      <c r="E9" s="9" t="s">
        <v>7</v>
      </c>
      <c r="F9" s="10"/>
      <c r="J9" s="11"/>
    </row>
    <row r="10" customFormat="false" ht="18.75" hidden="false" customHeight="false" outlineLevel="0" collapsed="false">
      <c r="B10" s="7" t="s">
        <v>8</v>
      </c>
      <c r="C10" s="8" t="s">
        <v>9</v>
      </c>
      <c r="D10" s="7" t="s">
        <v>10</v>
      </c>
      <c r="E10" s="12" t="n">
        <v>40006</v>
      </c>
      <c r="F10" s="10"/>
      <c r="J10" s="11"/>
    </row>
    <row r="11" customFormat="false" ht="18.75" hidden="false" customHeight="false" outlineLevel="0" collapsed="false">
      <c r="B11" s="7" t="s">
        <v>11</v>
      </c>
      <c r="C11" s="13" t="s">
        <v>12</v>
      </c>
      <c r="D11" s="7" t="s">
        <v>13</v>
      </c>
      <c r="E11" s="14" t="s">
        <v>12</v>
      </c>
      <c r="F11" s="10"/>
      <c r="J11" s="11"/>
    </row>
    <row r="12" customFormat="false" ht="18.75" hidden="false" customHeight="false" outlineLevel="0" collapsed="false">
      <c r="B12" s="7" t="s">
        <v>14</v>
      </c>
      <c r="C12" s="13" t="s">
        <v>15</v>
      </c>
      <c r="D12" s="7" t="s">
        <v>16</v>
      </c>
      <c r="E12" s="14" t="n">
        <v>655594981</v>
      </c>
      <c r="F12" s="10"/>
      <c r="J12" s="11"/>
    </row>
    <row r="13" customFormat="false" ht="18.75" hidden="false" customHeight="false" outlineLevel="0" collapsed="false">
      <c r="B13" s="7" t="s">
        <v>17</v>
      </c>
      <c r="C13" s="7" t="s">
        <v>5</v>
      </c>
      <c r="D13" s="7" t="s">
        <v>18</v>
      </c>
      <c r="E13" s="15" t="s">
        <v>19</v>
      </c>
      <c r="F13" s="10"/>
    </row>
    <row r="14" customFormat="false" ht="18.75" hidden="false" customHeight="false" outlineLevel="0" collapsed="false">
      <c r="B14" s="16"/>
      <c r="C14" s="16"/>
      <c r="D14" s="16"/>
      <c r="E14" s="17"/>
      <c r="F14" s="17"/>
    </row>
    <row r="15" customFormat="false" ht="23.25" hidden="false" customHeight="false" outlineLevel="0" collapsed="false">
      <c r="B15" s="6" t="s">
        <v>20</v>
      </c>
    </row>
    <row r="16" customFormat="false" ht="15.75" hidden="false" customHeight="false" outlineLevel="0" collapsed="false">
      <c r="B16" s="18" t="s">
        <v>21</v>
      </c>
    </row>
    <row r="17" s="19" customFormat="true" ht="21" hidden="false" customHeight="false" outlineLevel="0" collapsed="false">
      <c r="B17" s="20" t="s">
        <v>22</v>
      </c>
      <c r="C17" s="20"/>
      <c r="D17" s="21" t="s">
        <v>23</v>
      </c>
      <c r="E17" s="22" t="s">
        <v>24</v>
      </c>
      <c r="F17" s="22" t="s">
        <v>25</v>
      </c>
    </row>
    <row r="18" customFormat="false" ht="15.75" hidden="false" customHeight="false" outlineLevel="0" collapsed="false">
      <c r="B18" s="23"/>
      <c r="C18" s="23"/>
      <c r="D18" s="24"/>
      <c r="E18" s="25"/>
      <c r="F18" s="26" t="str">
        <f aca="false">IF(D18&lt;&gt;"",D18*E18,"")</f>
        <v/>
      </c>
    </row>
    <row r="19" customFormat="false" ht="15" hidden="false" customHeight="false" outlineLevel="0" collapsed="false">
      <c r="B19" s="27"/>
      <c r="C19" s="28"/>
      <c r="D19" s="29"/>
      <c r="E19" s="30"/>
      <c r="F19" s="30"/>
    </row>
    <row r="20" customFormat="false" ht="15" hidden="false" customHeight="false" outlineLevel="0" collapsed="false">
      <c r="B20" s="31"/>
      <c r="C20" s="28"/>
      <c r="D20" s="29"/>
      <c r="E20" s="30"/>
      <c r="F20" s="30"/>
    </row>
    <row r="21" customFormat="false" ht="15" hidden="false" customHeight="false" outlineLevel="0" collapsed="false">
      <c r="A21" s="28"/>
      <c r="B21" s="31"/>
      <c r="C21" s="29"/>
      <c r="D21" s="30"/>
      <c r="E21" s="30"/>
      <c r="F21" s="30"/>
    </row>
    <row r="22" customFormat="false" ht="15" hidden="false" customHeight="false" outlineLevel="0" collapsed="false">
      <c r="A22" s="28"/>
      <c r="B22" s="27"/>
      <c r="C22" s="29"/>
      <c r="D22" s="30"/>
      <c r="E22" s="30"/>
      <c r="F22" s="30"/>
      <c r="H22" s="32"/>
    </row>
    <row r="23" customFormat="false" ht="15" hidden="false" customHeight="false" outlineLevel="0" collapsed="false">
      <c r="B23" s="31"/>
      <c r="C23" s="28"/>
      <c r="D23" s="29"/>
      <c r="E23" s="30"/>
      <c r="F23" s="30"/>
    </row>
    <row r="24" customFormat="false" ht="15" hidden="false" customHeight="false" outlineLevel="0" collapsed="false">
      <c r="B24" s="31"/>
      <c r="C24" s="28"/>
      <c r="D24" s="29"/>
      <c r="E24" s="30"/>
      <c r="F24" s="30"/>
    </row>
    <row r="25" customFormat="false" ht="15" hidden="false" customHeight="false" outlineLevel="0" collapsed="false">
      <c r="B25" s="27"/>
      <c r="C25" s="28"/>
      <c r="D25" s="29"/>
      <c r="E25" s="30"/>
      <c r="F25" s="30"/>
    </row>
    <row r="26" customFormat="false" ht="15" hidden="false" customHeight="false" outlineLevel="0" collapsed="false">
      <c r="B26" s="31"/>
      <c r="C26" s="28"/>
      <c r="D26" s="29"/>
      <c r="E26" s="30"/>
      <c r="F26" s="30"/>
    </row>
    <row r="27" customFormat="false" ht="15" hidden="false" customHeight="false" outlineLevel="0" collapsed="false">
      <c r="B27" s="31"/>
      <c r="C27" s="28"/>
      <c r="D27" s="29"/>
      <c r="E27" s="30"/>
      <c r="F27" s="30"/>
    </row>
    <row r="28" customFormat="false" ht="15" hidden="false" customHeight="false" outlineLevel="0" collapsed="false">
      <c r="B28" s="27"/>
      <c r="C28" s="28"/>
      <c r="D28" s="29"/>
      <c r="E28" s="30"/>
      <c r="F28" s="30"/>
    </row>
    <row r="29" customFormat="false" ht="15" hidden="false" customHeight="false" outlineLevel="0" collapsed="false">
      <c r="B29" s="31"/>
      <c r="C29" s="28"/>
      <c r="D29" s="29"/>
      <c r="E29" s="30"/>
      <c r="F29" s="30"/>
    </row>
    <row r="30" customFormat="false" ht="15" hidden="false" customHeight="false" outlineLevel="0" collapsed="false">
      <c r="B30" s="28"/>
      <c r="C30" s="28"/>
      <c r="D30" s="33"/>
      <c r="E30" s="30"/>
      <c r="F30" s="30"/>
    </row>
    <row r="31" customFormat="false" ht="15" hidden="false" customHeight="false" outlineLevel="0" collapsed="false">
      <c r="B31" s="28"/>
      <c r="C31" s="28"/>
      <c r="D31" s="29"/>
      <c r="E31" s="30"/>
      <c r="F31" s="30"/>
    </row>
    <row r="32" customFormat="false" ht="15" hidden="false" customHeight="false" outlineLevel="0" collapsed="false">
      <c r="B32" s="28"/>
      <c r="C32" s="28"/>
      <c r="D32" s="29"/>
      <c r="E32" s="30"/>
      <c r="F32" s="30"/>
    </row>
    <row r="33" customFormat="false" ht="15" hidden="false" customHeight="false" outlineLevel="0" collapsed="false">
      <c r="B33" s="28"/>
      <c r="C33" s="28"/>
      <c r="D33" s="29"/>
      <c r="E33" s="30"/>
      <c r="F33" s="30"/>
    </row>
    <row r="34" customFormat="false" ht="15" hidden="false" customHeight="false" outlineLevel="0" collapsed="false">
      <c r="B34" s="28"/>
      <c r="C34" s="28"/>
      <c r="D34" s="29"/>
      <c r="E34" s="30"/>
      <c r="F34" s="30"/>
    </row>
    <row r="35" customFormat="false" ht="15" hidden="false" customHeight="false" outlineLevel="0" collapsed="false">
      <c r="B35" s="28"/>
      <c r="C35" s="28"/>
      <c r="D35" s="29"/>
      <c r="E35" s="30"/>
      <c r="F35" s="30"/>
    </row>
    <row r="36" customFormat="false" ht="15.75" hidden="false" customHeight="false" outlineLevel="0" collapsed="false">
      <c r="B36" s="28"/>
      <c r="C36" s="28"/>
      <c r="D36" s="29"/>
      <c r="E36" s="30"/>
      <c r="F36" s="30" t="str">
        <f aca="false">IF(D36&lt;&gt;"",D36*E36,"")</f>
        <v/>
      </c>
    </row>
    <row r="37" customFormat="false" ht="15.75" hidden="false" customHeight="false" outlineLevel="0" collapsed="false">
      <c r="B37" s="28"/>
      <c r="C37" s="28"/>
      <c r="D37" s="29"/>
      <c r="E37" s="30"/>
      <c r="F37" s="30" t="str">
        <f aca="false">IF(D37&lt;&gt;"",D37*E37,"")</f>
        <v/>
      </c>
    </row>
    <row r="38" customFormat="false" ht="15.75" hidden="false" customHeight="false" outlineLevel="0" collapsed="false">
      <c r="B38" s="28"/>
      <c r="C38" s="28"/>
      <c r="D38" s="29"/>
      <c r="E38" s="30"/>
      <c r="F38" s="30" t="str">
        <f aca="false">IF(D38&lt;&gt;"",D38*E38,"")</f>
        <v/>
      </c>
    </row>
    <row r="39" customFormat="false" ht="15.75" hidden="false" customHeight="false" outlineLevel="0" collapsed="false">
      <c r="B39" s="28"/>
      <c r="C39" s="28"/>
      <c r="D39" s="29"/>
      <c r="E39" s="30"/>
      <c r="F39" s="30" t="str">
        <f aca="false">IF(D39&lt;&gt;"",D39*E39,"")</f>
        <v/>
      </c>
    </row>
    <row r="40" customFormat="false" ht="15" hidden="false" customHeight="true" outlineLevel="0" collapsed="false">
      <c r="B40" s="28"/>
      <c r="C40" s="28"/>
      <c r="D40" s="29"/>
      <c r="E40" s="30"/>
      <c r="F40" s="30" t="str">
        <f aca="false">IF(D40&lt;&gt;"",D40*E40,"")</f>
        <v/>
      </c>
      <c r="I40" s="32"/>
    </row>
    <row r="41" customFormat="false" ht="15.75" hidden="false" customHeight="false" outlineLevel="0" collapsed="false">
      <c r="B41" s="28"/>
      <c r="C41" s="28"/>
      <c r="D41" s="29"/>
      <c r="E41" s="30"/>
      <c r="F41" s="30" t="str">
        <f aca="false">IF(D41&lt;&gt;"",D41*E41,"")</f>
        <v/>
      </c>
    </row>
    <row r="42" customFormat="false" ht="18.75" hidden="false" customHeight="false" outlineLevel="0" collapsed="false">
      <c r="B42" s="34" t="s">
        <v>26</v>
      </c>
      <c r="C42" s="34"/>
      <c r="D42" s="35"/>
      <c r="E42" s="36"/>
      <c r="F42" s="37" t="n">
        <f aca="false">SUM(F18:F41)</f>
        <v>0</v>
      </c>
    </row>
    <row r="43" customFormat="false" ht="18.75" hidden="false" customHeight="false" outlineLevel="0" collapsed="false">
      <c r="B43" s="38" t="s">
        <v>27</v>
      </c>
      <c r="C43" s="39" t="s">
        <v>28</v>
      </c>
      <c r="D43" s="40" t="n">
        <v>50</v>
      </c>
      <c r="E43" s="41"/>
      <c r="F43" s="42" t="n">
        <f aca="false">F42*(D43/100)*(-1)</f>
        <v>-0</v>
      </c>
    </row>
    <row r="44" customFormat="false" ht="18.75" hidden="false" customHeight="false" outlineLevel="0" collapsed="false">
      <c r="B44" s="43" t="s">
        <v>29</v>
      </c>
      <c r="C44" s="43"/>
      <c r="D44" s="43"/>
      <c r="E44" s="44"/>
      <c r="F44" s="44" t="n">
        <f aca="false">SUM(F42:F43)</f>
        <v>0</v>
      </c>
    </row>
    <row r="45" customFormat="false" ht="18.75" hidden="false" customHeight="false" outlineLevel="0" collapsed="false">
      <c r="B45" s="45" t="s">
        <v>30</v>
      </c>
      <c r="C45" s="46" t="s">
        <v>31</v>
      </c>
      <c r="D45" s="45" t="n">
        <v>1</v>
      </c>
      <c r="E45" s="47" t="n">
        <v>17</v>
      </c>
      <c r="F45" s="47" t="n">
        <f aca="false">D45*E45</f>
        <v>17</v>
      </c>
    </row>
    <row r="46" customFormat="false" ht="18.75" hidden="false" customHeight="false" outlineLevel="0" collapsed="false">
      <c r="B46" s="45" t="s">
        <v>32</v>
      </c>
      <c r="C46" s="45"/>
      <c r="D46" s="45"/>
      <c r="E46" s="47"/>
      <c r="F46" s="47" t="str">
        <f aca="false">IF(D46&lt;&gt;"",(D46*E46),"")</f>
        <v/>
      </c>
    </row>
    <row r="47" customFormat="false" ht="18.75" hidden="false" customHeight="false" outlineLevel="0" collapsed="false">
      <c r="B47" s="38" t="s">
        <v>33</v>
      </c>
      <c r="C47" s="38"/>
      <c r="D47" s="38"/>
      <c r="E47" s="41"/>
      <c r="F47" s="41" t="str">
        <f aca="false">IF(D47&lt;&gt;"",(D47*E47),"")</f>
        <v/>
      </c>
    </row>
    <row r="48" customFormat="false" ht="18.75" hidden="false" customHeight="false" outlineLevel="0" collapsed="false">
      <c r="B48" s="43" t="s">
        <v>34</v>
      </c>
      <c r="C48" s="43"/>
      <c r="D48" s="43"/>
      <c r="E48" s="44"/>
      <c r="F48" s="44" t="n">
        <f aca="false">SUM(F44:F47)</f>
        <v>17</v>
      </c>
    </row>
    <row r="49" customFormat="false" ht="18.75" hidden="false" customHeight="false" outlineLevel="0" collapsed="false">
      <c r="B49" s="45" t="s">
        <v>35</v>
      </c>
      <c r="C49" s="45"/>
      <c r="D49" s="45"/>
      <c r="E49" s="47"/>
      <c r="F49" s="47" t="n">
        <f aca="false">F48*0.21</f>
        <v>3.57</v>
      </c>
    </row>
    <row r="50" s="48" customFormat="true" ht="21" hidden="false" customHeight="false" outlineLevel="0" collapsed="false">
      <c r="B50" s="49" t="s">
        <v>36</v>
      </c>
      <c r="C50" s="49"/>
      <c r="D50" s="49"/>
      <c r="E50" s="50"/>
      <c r="F50" s="50" t="n">
        <f aca="false">SUM(F48:F49)</f>
        <v>20.57</v>
      </c>
    </row>
    <row r="51" customFormat="false" ht="12" hidden="false" customHeight="true" outlineLevel="0" collapsed="false"/>
    <row r="52" customFormat="false" ht="12" hidden="false" customHeight="true" outlineLevel="0" collapsed="false"/>
    <row r="53" customFormat="false" ht="23.25" hidden="false" customHeight="false" outlineLevel="0" collapsed="false">
      <c r="B53" s="51" t="s">
        <v>37</v>
      </c>
      <c r="C53" s="52"/>
      <c r="D53" s="52"/>
      <c r="E53" s="53"/>
      <c r="F53" s="53"/>
    </row>
    <row r="54" customFormat="false" ht="12" hidden="false" customHeight="true" outlineLevel="0" collapsed="false">
      <c r="B54" s="52"/>
      <c r="C54" s="52"/>
      <c r="D54" s="52"/>
      <c r="E54" s="53"/>
      <c r="F54" s="53"/>
    </row>
    <row r="55" customFormat="false" ht="15.75" hidden="false" customHeight="false" outlineLevel="0" collapsed="false">
      <c r="B55" s="54" t="s">
        <v>38</v>
      </c>
      <c r="C55" s="54" t="s">
        <v>39</v>
      </c>
      <c r="D55" s="54"/>
      <c r="E55" s="55"/>
      <c r="F55" s="55"/>
    </row>
    <row r="56" customFormat="false" ht="15.75" hidden="false" customHeight="false" outlineLevel="0" collapsed="false">
      <c r="B56" s="54" t="s">
        <v>40</v>
      </c>
      <c r="C56" s="56" t="s">
        <v>41</v>
      </c>
      <c r="D56" s="56"/>
      <c r="E56" s="57"/>
      <c r="F56" s="55"/>
    </row>
    <row r="57" customFormat="false" ht="15.75" hidden="false" customHeight="false" outlineLevel="0" collapsed="false">
      <c r="B57" s="54" t="s">
        <v>42</v>
      </c>
      <c r="C57" s="54" t="s">
        <v>43</v>
      </c>
      <c r="D57" s="54"/>
      <c r="E57" s="55"/>
      <c r="F57" s="55"/>
    </row>
    <row r="58" customFormat="false" ht="15.75" hidden="false" customHeight="false" outlineLevel="0" collapsed="false">
      <c r="B58" s="58" t="s">
        <v>44</v>
      </c>
      <c r="C58" s="59"/>
      <c r="D58" s="58"/>
      <c r="E58" s="60"/>
      <c r="F58" s="60"/>
    </row>
    <row r="59" customFormat="false" ht="12" hidden="false" customHeight="true" outlineLevel="0" collapsed="false">
      <c r="B59" s="52"/>
      <c r="C59" s="52"/>
      <c r="D59" s="52"/>
      <c r="E59" s="53"/>
      <c r="F59" s="53"/>
    </row>
    <row r="60" customFormat="false" ht="18.75" hidden="false" customHeight="false" outlineLevel="0" collapsed="false">
      <c r="B60" s="61" t="s">
        <v>45</v>
      </c>
      <c r="E60" s="53"/>
      <c r="F60" s="53"/>
    </row>
    <row r="61" customFormat="false" ht="12" hidden="false" customHeight="true" outlineLevel="0" collapsed="false">
      <c r="B61" s="52" t="s">
        <v>46</v>
      </c>
      <c r="E61" s="62"/>
      <c r="F61" s="63" t="s">
        <v>47</v>
      </c>
    </row>
    <row r="62" customFormat="false" ht="12.75" hidden="false" customHeight="true" outlineLevel="0" collapsed="false">
      <c r="B62" s="1" t="s">
        <v>48</v>
      </c>
      <c r="E62" s="62"/>
      <c r="F62" s="63"/>
    </row>
    <row r="63" customFormat="false" ht="13.5" hidden="false" customHeight="true" outlineLevel="0" collapsed="false">
      <c r="B63" s="1" t="s">
        <v>49</v>
      </c>
      <c r="C63" s="52"/>
      <c r="E63" s="64" t="s">
        <v>50</v>
      </c>
      <c r="F63" s="52"/>
    </row>
    <row r="64" customFormat="false" ht="15.75" hidden="false" customHeight="false" outlineLevel="0" collapsed="false">
      <c r="B64" s="52"/>
      <c r="C64" s="52"/>
      <c r="D64" s="52"/>
      <c r="E64" s="65" t="s">
        <v>51</v>
      </c>
      <c r="F64" s="52"/>
    </row>
  </sheetData>
  <hyperlinks>
    <hyperlink ref="E13" r:id="rId1" display="gabi@tantalos.es"/>
    <hyperlink ref="E63" r:id="rId2" display="E-mail: hola@nchemicals.es"/>
    <hyperlink ref="E64" r:id="rId3" display="suelosderesina@gmail.com"/>
  </hyperlink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B4:N6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D25" activeCellId="0" sqref="D25"/>
    </sheetView>
  </sheetViews>
  <sheetFormatPr defaultColWidth="11.43359375" defaultRowHeight="15.75" zeroHeight="false" outlineLevelRow="0" outlineLevelCol="0"/>
  <cols>
    <col collapsed="false" customWidth="true" hidden="false" outlineLevel="0" max="1" min="1" style="1" width="3.14"/>
    <col collapsed="false" customWidth="true" hidden="false" outlineLevel="0" max="2" min="2" style="1" width="20.86"/>
    <col collapsed="false" customWidth="true" hidden="false" outlineLevel="0" max="3" min="3" style="1" width="37.14"/>
    <col collapsed="false" customWidth="true" hidden="false" outlineLevel="0" max="4" min="4" style="1" width="10.85"/>
    <col collapsed="false" customWidth="true" hidden="false" outlineLevel="0" max="5" min="5" style="2" width="23.57"/>
    <col collapsed="false" customWidth="true" hidden="false" outlineLevel="0" max="6" min="6" style="2" width="13.01"/>
    <col collapsed="false" customWidth="true" hidden="false" outlineLevel="0" max="7" min="7" style="1" width="6.86"/>
    <col collapsed="false" customWidth="false" hidden="false" outlineLevel="0" max="9" min="8" style="1" width="11.42"/>
    <col collapsed="false" customWidth="true" hidden="false" outlineLevel="0" max="10" min="10" style="1" width="18.42"/>
    <col collapsed="false" customWidth="true" hidden="false" outlineLevel="0" max="11" min="11" style="1" width="31.57"/>
    <col collapsed="false" customWidth="true" hidden="false" outlineLevel="0" max="12" min="12" style="1" width="12.57"/>
    <col collapsed="false" customWidth="true" hidden="false" outlineLevel="0" max="13" min="13" style="1" width="20.42"/>
    <col collapsed="false" customWidth="false" hidden="false" outlineLevel="0" max="1024" min="14" style="1" width="11.42"/>
  </cols>
  <sheetData>
    <row r="4" customFormat="false" ht="26.25" hidden="false" customHeight="false" outlineLevel="0" collapsed="false">
      <c r="E4" s="3" t="s">
        <v>52</v>
      </c>
    </row>
    <row r="5" customFormat="false" ht="21" hidden="false" customHeight="false" outlineLevel="0" collapsed="false">
      <c r="E5" s="4" t="str">
        <f aca="false">proforma!D5</f>
        <v>PROFORMA: 291225462RNM</v>
      </c>
    </row>
    <row r="6" customFormat="false" ht="21" hidden="false" customHeight="false" outlineLevel="0" collapsed="false">
      <c r="E6" s="4" t="str">
        <f aca="false">proforma!D6</f>
        <v>FECHA.26/12/2025</v>
      </c>
    </row>
    <row r="7" customFormat="false" ht="15.75" hidden="false" customHeight="false" outlineLevel="0" collapsed="false">
      <c r="J7" s="66" t="s">
        <v>53</v>
      </c>
      <c r="K7" s="67"/>
      <c r="L7" s="67"/>
      <c r="M7" s="67"/>
      <c r="N7" s="68"/>
    </row>
    <row r="8" customFormat="false" ht="23.25" hidden="false" customHeight="false" outlineLevel="0" collapsed="false">
      <c r="B8" s="6" t="s">
        <v>3</v>
      </c>
      <c r="C8" s="4"/>
      <c r="J8" s="69" t="s">
        <v>54</v>
      </c>
      <c r="K8" s="70"/>
      <c r="M8" s="2"/>
      <c r="N8" s="71"/>
    </row>
    <row r="9" customFormat="false" ht="18.75" hidden="false" customHeight="false" outlineLevel="0" collapsed="false">
      <c r="B9" s="72" t="s">
        <v>4</v>
      </c>
      <c r="C9" s="72" t="str">
        <f aca="false">IF(proforma!C9&lt;&gt;"",(proforma!C9),"")</f>
        <v>GABRIEL PASCUAL CEREZO</v>
      </c>
      <c r="D9" s="72" t="s">
        <v>6</v>
      </c>
      <c r="E9" s="73" t="str">
        <f aca="false">IF(proforma!E9&lt;&gt;"",(proforma!E9),"")</f>
        <v>70247465Z</v>
      </c>
      <c r="F9" s="10"/>
      <c r="J9" s="74" t="s">
        <v>4</v>
      </c>
      <c r="K9" s="75" t="str">
        <f aca="false">IF(proforma!C9&lt;&gt;"",(proforma!C9),"")</f>
        <v>GABRIEL PASCUAL CEREZO</v>
      </c>
      <c r="L9" s="72" t="s">
        <v>6</v>
      </c>
      <c r="M9" s="73" t="str">
        <f aca="false">IF(proforma!E9&lt;&gt;"",(proforma!E9),"")</f>
        <v>70247465Z</v>
      </c>
      <c r="N9" s="76"/>
    </row>
    <row r="10" customFormat="false" ht="18.75" hidden="false" customHeight="false" outlineLevel="0" collapsed="false">
      <c r="B10" s="72" t="s">
        <v>8</v>
      </c>
      <c r="C10" s="72" t="str">
        <f aca="false">IF(proforma!C10&lt;&gt;"",(proforma!C10),"")</f>
        <v>PLAZA TIRSO DE MOLINA 9,LOCAL TANTALOS</v>
      </c>
      <c r="D10" s="72" t="s">
        <v>10</v>
      </c>
      <c r="E10" s="77" t="n">
        <f aca="false">IF(proforma!E10&lt;&gt;"",(proforma!E10),"")</f>
        <v>40006</v>
      </c>
      <c r="F10" s="10"/>
      <c r="J10" s="74" t="s">
        <v>4</v>
      </c>
      <c r="K10" s="75" t="str">
        <f aca="false">IF(proforma!C10&lt;&gt;"",(proforma!C10),"")</f>
        <v>PLAZA TIRSO DE MOLINA 9,LOCAL TANTALOS</v>
      </c>
      <c r="L10" s="72" t="s">
        <v>10</v>
      </c>
      <c r="M10" s="77" t="n">
        <f aca="false">IF(proforma!E10&lt;&gt;"",(proforma!E10),"")</f>
        <v>40006</v>
      </c>
      <c r="N10" s="76"/>
    </row>
    <row r="11" customFormat="false" ht="18.75" hidden="false" customHeight="false" outlineLevel="0" collapsed="false">
      <c r="B11" s="72" t="s">
        <v>11</v>
      </c>
      <c r="C11" s="72" t="str">
        <f aca="false">IF(proforma!C11&lt;&gt;"",(proforma!C11),"")</f>
        <v>SEGOVIA</v>
      </c>
      <c r="D11" s="72" t="s">
        <v>13</v>
      </c>
      <c r="E11" s="72" t="str">
        <f aca="false">IF(proforma!E11&lt;&gt;"",(proforma!E11),"")</f>
        <v>SEGOVIA</v>
      </c>
      <c r="F11" s="10"/>
      <c r="J11" s="74" t="s">
        <v>4</v>
      </c>
      <c r="K11" s="75" t="str">
        <f aca="false">IF(proforma!C11&lt;&gt;"",(proforma!C11),"")</f>
        <v>SEGOVIA</v>
      </c>
      <c r="L11" s="72" t="s">
        <v>13</v>
      </c>
      <c r="M11" s="73" t="str">
        <f aca="false">IF(proforma!E11&lt;&gt;"",(proforma!E11),"")</f>
        <v>SEGOVIA</v>
      </c>
      <c r="N11" s="76"/>
    </row>
    <row r="12" customFormat="false" ht="18.75" hidden="false" customHeight="false" outlineLevel="0" collapsed="false">
      <c r="B12" s="72" t="s">
        <v>14</v>
      </c>
      <c r="C12" s="72" t="str">
        <f aca="false">IF(proforma!C12&lt;&gt;"",(proforma!C12),"")</f>
        <v>ESPAÑA</v>
      </c>
      <c r="D12" s="72" t="s">
        <v>16</v>
      </c>
      <c r="E12" s="73" t="n">
        <f aca="false">IF(proforma!E12&lt;&gt;"",(proforma!E12),"")</f>
        <v>655594981</v>
      </c>
      <c r="F12" s="10"/>
      <c r="J12" s="74" t="s">
        <v>4</v>
      </c>
      <c r="K12" s="75" t="str">
        <f aca="false">IF(proforma!C12&lt;&gt;"",(proforma!C12),"")</f>
        <v>ESPAÑA</v>
      </c>
      <c r="L12" s="72" t="s">
        <v>16</v>
      </c>
      <c r="M12" s="73" t="n">
        <f aca="false">IF(proforma!E12&lt;&gt;"",(proforma!E12),"")</f>
        <v>655594981</v>
      </c>
      <c r="N12" s="76"/>
    </row>
    <row r="13" customFormat="false" ht="18.75" hidden="false" customHeight="false" outlineLevel="0" collapsed="false">
      <c r="B13" s="72" t="s">
        <v>17</v>
      </c>
      <c r="C13" s="72" t="str">
        <f aca="false">IF(proforma!C13&lt;&gt;"",(proforma!C13),"")</f>
        <v>GABRIEL PASCUAL CEREZO</v>
      </c>
      <c r="D13" s="72" t="s">
        <v>18</v>
      </c>
      <c r="E13" s="78" t="str">
        <f aca="false">IF(proforma!E13&lt;&gt;"",(proforma!E13),"")</f>
        <v>gabi@tantalos.es</v>
      </c>
      <c r="F13" s="10"/>
      <c r="J13" s="74" t="s">
        <v>4</v>
      </c>
      <c r="K13" s="75" t="str">
        <f aca="false">IF(proforma!C13&lt;&gt;"",(proforma!C13),"")</f>
        <v>GABRIEL PASCUAL CEREZO</v>
      </c>
      <c r="L13" s="79" t="s">
        <v>18</v>
      </c>
      <c r="M13" s="80" t="str">
        <f aca="false">IF(proforma!E13&lt;&gt;"",(proforma!E13),"")</f>
        <v>gabi@tantalos.es</v>
      </c>
      <c r="N13" s="81"/>
    </row>
    <row r="14" customFormat="false" ht="18.75" hidden="false" customHeight="false" outlineLevel="0" collapsed="false">
      <c r="B14" s="16"/>
      <c r="C14" s="16"/>
      <c r="D14" s="16"/>
      <c r="E14" s="82" t="str">
        <f aca="false">IF(proforma!E14&lt;&gt;"",(proforma!E14),"")</f>
        <v/>
      </c>
      <c r="F14" s="17"/>
      <c r="J14" s="74" t="s">
        <v>4</v>
      </c>
      <c r="K14" s="83"/>
      <c r="L14" s="84"/>
      <c r="M14" s="84"/>
      <c r="N14" s="84"/>
    </row>
    <row r="15" customFormat="false" ht="23.25" hidden="false" customHeight="false" outlineLevel="0" collapsed="false">
      <c r="B15" s="6" t="s">
        <v>20</v>
      </c>
      <c r="E15" s="85"/>
      <c r="J15" s="74" t="s">
        <v>55</v>
      </c>
      <c r="K15" s="86"/>
    </row>
    <row r="16" customFormat="false" ht="18.75" hidden="false" customHeight="false" outlineLevel="0" collapsed="false">
      <c r="J16" s="74" t="s">
        <v>56</v>
      </c>
      <c r="K16" s="86"/>
    </row>
    <row r="17" s="19" customFormat="true" ht="21" hidden="false" customHeight="false" outlineLevel="0" collapsed="false">
      <c r="B17" s="20" t="s">
        <v>22</v>
      </c>
      <c r="C17" s="20"/>
      <c r="D17" s="21" t="s">
        <v>23</v>
      </c>
      <c r="E17" s="22" t="s">
        <v>24</v>
      </c>
      <c r="F17" s="22" t="s">
        <v>25</v>
      </c>
      <c r="J17" s="74" t="s">
        <v>57</v>
      </c>
      <c r="K17" s="87"/>
    </row>
    <row r="18" customFormat="false" ht="18.75" hidden="false" customHeight="false" outlineLevel="0" collapsed="false">
      <c r="B18" s="23"/>
      <c r="C18" s="23"/>
      <c r="D18" s="24"/>
      <c r="E18" s="25"/>
      <c r="F18" s="26" t="str">
        <f aca="false">IF(D18&lt;&gt;"",D18*E18,"")</f>
        <v/>
      </c>
      <c r="J18" s="74" t="s">
        <v>4</v>
      </c>
      <c r="K18" s="86"/>
    </row>
    <row r="19" customFormat="false" ht="18.75" hidden="false" customHeight="false" outlineLevel="0" collapsed="false">
      <c r="B19" s="28" t="str">
        <f aca="false">IF(proforma!B19&lt;&gt;"",(proforma!B19),"")</f>
        <v/>
      </c>
      <c r="C19" s="28" t="str">
        <f aca="false">IF(proforma!C19&lt;&gt;"",(proforma!C19),"")</f>
        <v/>
      </c>
      <c r="D19" s="29" t="str">
        <f aca="false">IF(proforma!D17&lt;&gt;"",(proforma!D17),"")</f>
        <v>Cant.Unit</v>
      </c>
      <c r="E19" s="30" t="str">
        <f aca="false">IF(proforma!E17&lt;&gt;"",(proforma!E17),"")</f>
        <v>Precio €/U</v>
      </c>
      <c r="F19" s="30"/>
      <c r="J19" s="87" t="s">
        <v>58</v>
      </c>
      <c r="K19" s="88" t="s">
        <v>59</v>
      </c>
    </row>
    <row r="20" customFormat="false" ht="15.75" hidden="false" customHeight="false" outlineLevel="0" collapsed="false">
      <c r="B20" s="28" t="str">
        <f aca="false">IF(proforma!B20&lt;&gt;"",(proforma!B20),"")</f>
        <v/>
      </c>
      <c r="C20" s="28" t="str">
        <f aca="false">IF(proforma!C20&lt;&gt;"",(proforma!C20),"")</f>
        <v/>
      </c>
      <c r="D20" s="29" t="str">
        <f aca="false">IF(proforma!D20&lt;&gt;"",(proforma!D20),"")</f>
        <v/>
      </c>
      <c r="E20" s="30"/>
      <c r="F20" s="30"/>
    </row>
    <row r="21" customFormat="false" ht="15.75" hidden="false" customHeight="false" outlineLevel="0" collapsed="false">
      <c r="B21" s="28" t="str">
        <f aca="false">IF(proforma!B21&lt;&gt;"",(proforma!B21),"")</f>
        <v/>
      </c>
      <c r="C21" s="28" t="str">
        <f aca="false">IF(proforma!C21&lt;&gt;"",(proforma!C21),"")</f>
        <v/>
      </c>
      <c r="D21" s="29" t="str">
        <f aca="false">IF(proforma!D21&lt;&gt;"",(proforma!D21),"")</f>
        <v/>
      </c>
      <c r="E21" s="30"/>
      <c r="F21" s="30"/>
    </row>
    <row r="22" customFormat="false" ht="15.75" hidden="false" customHeight="false" outlineLevel="0" collapsed="false">
      <c r="B22" s="28" t="str">
        <f aca="false">IF(proforma!B22&lt;&gt;"",(proforma!B22),"")</f>
        <v/>
      </c>
      <c r="C22" s="28" t="str">
        <f aca="false">IF(proforma!C22&lt;&gt;"",(proforma!C22),"")</f>
        <v/>
      </c>
      <c r="D22" s="29" t="str">
        <f aca="false">IF(proforma!D22&lt;&gt;"",(proforma!D22),"")</f>
        <v/>
      </c>
      <c r="E22" s="30"/>
      <c r="F22" s="30"/>
    </row>
    <row r="23" customFormat="false" ht="15.75" hidden="false" customHeight="false" outlineLevel="0" collapsed="false">
      <c r="B23" s="28" t="str">
        <f aca="false">IF(proforma!B23&lt;&gt;"",(proforma!B23),"")</f>
        <v/>
      </c>
      <c r="C23" s="28" t="str">
        <f aca="false">IF(proforma!C23&lt;&gt;"",(proforma!C23),"")</f>
        <v/>
      </c>
      <c r="D23" s="29" t="str">
        <f aca="false">IF(proforma!D23&lt;&gt;"",(proforma!D23),"")</f>
        <v/>
      </c>
      <c r="E23" s="30"/>
      <c r="F23" s="30"/>
    </row>
    <row r="24" customFormat="false" ht="15.75" hidden="false" customHeight="false" outlineLevel="0" collapsed="false">
      <c r="B24" s="28" t="str">
        <f aca="false">IF(proforma!B24&lt;&gt;"",(proforma!B24),"")</f>
        <v/>
      </c>
      <c r="C24" s="28" t="str">
        <f aca="false">IF(proforma!C24&lt;&gt;"",(proforma!C24),"")</f>
        <v/>
      </c>
      <c r="D24" s="29" t="str">
        <f aca="false">IF(proforma!D24&lt;&gt;"",(proforma!D24),"")</f>
        <v/>
      </c>
      <c r="E24" s="30"/>
      <c r="F24" s="30"/>
    </row>
    <row r="25" customFormat="false" ht="15.75" hidden="false" customHeight="false" outlineLevel="0" collapsed="false">
      <c r="B25" s="28" t="str">
        <f aca="false">IF(proforma!B25&lt;&gt;"",(proforma!B25),"")</f>
        <v/>
      </c>
      <c r="C25" s="28" t="str">
        <f aca="false">IF(proforma!C25&lt;&gt;"",(proforma!C25),"")</f>
        <v/>
      </c>
      <c r="D25" s="29" t="str">
        <f aca="false">IF(proforma!D25&lt;&gt;"",(proforma!D25),"")</f>
        <v/>
      </c>
      <c r="E25" s="30"/>
      <c r="F25" s="30"/>
    </row>
    <row r="26" customFormat="false" ht="15.75" hidden="false" customHeight="false" outlineLevel="0" collapsed="false">
      <c r="B26" s="28" t="str">
        <f aca="false">IF(proforma!B26&lt;&gt;"",(proforma!B26),"")</f>
        <v/>
      </c>
      <c r="C26" s="28" t="str">
        <f aca="false">IF(proforma!C26&lt;&gt;"",(proforma!C26),"")</f>
        <v/>
      </c>
      <c r="D26" s="29" t="str">
        <f aca="false">IF(proforma!D26&lt;&gt;"",(proforma!D26),"")</f>
        <v/>
      </c>
      <c r="E26" s="30"/>
      <c r="F26" s="30"/>
    </row>
    <row r="27" customFormat="false" ht="15.75" hidden="false" customHeight="false" outlineLevel="0" collapsed="false">
      <c r="B27" s="28" t="str">
        <f aca="false">IF(proforma!B27&lt;&gt;"",(proforma!B27),"")</f>
        <v/>
      </c>
      <c r="C27" s="28" t="str">
        <f aca="false">IF(proforma!C27&lt;&gt;"",(proforma!C27),"")</f>
        <v/>
      </c>
      <c r="D27" s="29" t="str">
        <f aca="false">IF(proforma!D27&lt;&gt;"",(proforma!D27),"")</f>
        <v/>
      </c>
      <c r="E27" s="30"/>
      <c r="F27" s="30"/>
    </row>
    <row r="28" customFormat="false" ht="15.75" hidden="false" customHeight="false" outlineLevel="0" collapsed="false">
      <c r="B28" s="28" t="str">
        <f aca="false">IF(proforma!B28&lt;&gt;"",(proforma!B28),"")</f>
        <v/>
      </c>
      <c r="C28" s="28" t="str">
        <f aca="false">IF(proforma!C28&lt;&gt;"",(proforma!C28),"")</f>
        <v/>
      </c>
      <c r="D28" s="29" t="str">
        <f aca="false">IF(proforma!D28&lt;&gt;"",(proforma!D28),"")</f>
        <v/>
      </c>
      <c r="E28" s="30"/>
      <c r="F28" s="30"/>
    </row>
    <row r="29" customFormat="false" ht="15.75" hidden="false" customHeight="false" outlineLevel="0" collapsed="false">
      <c r="B29" s="28" t="str">
        <f aca="false">IF(proforma!B29&lt;&gt;"",(proforma!B29),"")</f>
        <v/>
      </c>
      <c r="C29" s="28" t="str">
        <f aca="false">IF(proforma!C29&lt;&gt;"",(proforma!C29),"")</f>
        <v/>
      </c>
      <c r="D29" s="29" t="str">
        <f aca="false">IF(proforma!D29&lt;&gt;"",(proforma!D29),"")</f>
        <v/>
      </c>
      <c r="E29" s="30"/>
      <c r="F29" s="30"/>
    </row>
    <row r="30" customFormat="false" ht="15.75" hidden="false" customHeight="false" outlineLevel="0" collapsed="false">
      <c r="B30" s="28" t="str">
        <f aca="false">IF(proforma!B30&lt;&gt;"",(proforma!B30),"")</f>
        <v/>
      </c>
      <c r="C30" s="28" t="str">
        <f aca="false">IF(proforma!C30&lt;&gt;"",(proforma!C30),"")</f>
        <v/>
      </c>
      <c r="D30" s="29" t="str">
        <f aca="false">IF(proforma!D30&lt;&gt;"",(proforma!D30),"")</f>
        <v/>
      </c>
      <c r="E30" s="30"/>
      <c r="F30" s="30"/>
    </row>
    <row r="31" customFormat="false" ht="15.75" hidden="false" customHeight="false" outlineLevel="0" collapsed="false">
      <c r="B31" s="28" t="str">
        <f aca="false">IF(proforma!B31&lt;&gt;"",(proforma!B31),"")</f>
        <v/>
      </c>
      <c r="C31" s="28" t="str">
        <f aca="false">IF(proforma!C31&lt;&gt;"",(proforma!C31),"")</f>
        <v/>
      </c>
      <c r="D31" s="29" t="str">
        <f aca="false">IF(proforma!D31&lt;&gt;"",(proforma!D31),"")</f>
        <v/>
      </c>
      <c r="E31" s="30"/>
      <c r="F31" s="30"/>
    </row>
    <row r="32" customFormat="false" ht="15.75" hidden="false" customHeight="false" outlineLevel="0" collapsed="false">
      <c r="B32" s="28" t="str">
        <f aca="false">IF(proforma!B32&lt;&gt;"",(proforma!B32),"")</f>
        <v/>
      </c>
      <c r="C32" s="28" t="str">
        <f aca="false">IF(proforma!C32&lt;&gt;"",(proforma!C32),"")</f>
        <v/>
      </c>
      <c r="D32" s="29" t="str">
        <f aca="false">IF(proforma!D32&lt;&gt;"",(proforma!D32),"")</f>
        <v/>
      </c>
      <c r="E32" s="30"/>
      <c r="F32" s="30"/>
    </row>
    <row r="33" customFormat="false" ht="15.75" hidden="false" customHeight="false" outlineLevel="0" collapsed="false">
      <c r="B33" s="28" t="str">
        <f aca="false">IF(proforma!B33&lt;&gt;"",(proforma!B33),"")</f>
        <v/>
      </c>
      <c r="C33" s="28" t="str">
        <f aca="false">IF(proforma!C33&lt;&gt;"",(proforma!C33),"")</f>
        <v/>
      </c>
      <c r="D33" s="29" t="str">
        <f aca="false">IF(proforma!D33&lt;&gt;"",(proforma!D33),"")</f>
        <v/>
      </c>
      <c r="E33" s="30"/>
      <c r="F33" s="30"/>
    </row>
    <row r="34" customFormat="false" ht="15.75" hidden="false" customHeight="false" outlineLevel="0" collapsed="false">
      <c r="B34" s="28" t="str">
        <f aca="false">IF(proforma!B34&lt;&gt;"",(proforma!B34),"")</f>
        <v/>
      </c>
      <c r="C34" s="28" t="str">
        <f aca="false">IF(proforma!C34&lt;&gt;"",(proforma!C34),"")</f>
        <v/>
      </c>
      <c r="D34" s="29" t="str">
        <f aca="false">IF(proforma!D34&lt;&gt;"",(proforma!D34),"")</f>
        <v/>
      </c>
      <c r="E34" s="30"/>
      <c r="F34" s="30"/>
    </row>
    <row r="35" customFormat="false" ht="15.75" hidden="false" customHeight="false" outlineLevel="0" collapsed="false">
      <c r="B35" s="28" t="str">
        <f aca="false">IF(proforma!B35&lt;&gt;"",(proforma!B35),"")</f>
        <v/>
      </c>
      <c r="C35" s="28" t="str">
        <f aca="false">IF(proforma!C35&lt;&gt;"",(proforma!C35),"")</f>
        <v/>
      </c>
      <c r="D35" s="29" t="str">
        <f aca="false">IF(proforma!D35&lt;&gt;"",(proforma!D35),"")</f>
        <v/>
      </c>
      <c r="E35" s="30" t="str">
        <f aca="false">IF(proforma!E33&lt;&gt;"",(proforma!E33),"")</f>
        <v/>
      </c>
      <c r="F35" s="30"/>
    </row>
    <row r="36" customFormat="false" ht="15.75" hidden="false" customHeight="false" outlineLevel="0" collapsed="false">
      <c r="B36" s="28" t="str">
        <f aca="false">IF(proforma!B36&lt;&gt;"",(proforma!B36),"")</f>
        <v/>
      </c>
      <c r="C36" s="28" t="str">
        <f aca="false">IF(proforma!C36&lt;&gt;"",(proforma!C36),"")</f>
        <v/>
      </c>
      <c r="D36" s="29" t="str">
        <f aca="false">IF(proforma!D36&lt;&gt;"",(proforma!D36),"")</f>
        <v/>
      </c>
      <c r="E36" s="30" t="str">
        <f aca="false">IF(proforma!E34&lt;&gt;"",(proforma!E34),"")</f>
        <v/>
      </c>
      <c r="F36" s="30"/>
    </row>
    <row r="37" customFormat="false" ht="15.75" hidden="false" customHeight="false" outlineLevel="0" collapsed="false">
      <c r="B37" s="28" t="str">
        <f aca="false">IF(proforma!B37&lt;&gt;"",(proforma!B37),"")</f>
        <v/>
      </c>
      <c r="C37" s="28" t="str">
        <f aca="false">IF(proforma!C37&lt;&gt;"",(proforma!C37),"")</f>
        <v/>
      </c>
      <c r="D37" s="29" t="str">
        <f aca="false">IF(proforma!D37&lt;&gt;"",(proforma!D37),"")</f>
        <v/>
      </c>
      <c r="E37" s="30" t="str">
        <f aca="false">IF(proforma!E35&lt;&gt;"",(proforma!E35),"")</f>
        <v/>
      </c>
      <c r="F37" s="30"/>
    </row>
    <row r="38" customFormat="false" ht="15.75" hidden="false" customHeight="false" outlineLevel="0" collapsed="false">
      <c r="B38" s="28" t="str">
        <f aca="false">IF(proforma!B38&lt;&gt;"",(proforma!B38),"")</f>
        <v/>
      </c>
      <c r="C38" s="28" t="str">
        <f aca="false">IF(proforma!C38&lt;&gt;"",(proforma!C38),"")</f>
        <v/>
      </c>
      <c r="D38" s="29" t="str">
        <f aca="false">IF(proforma!D38&lt;&gt;"",(proforma!D38),"")</f>
        <v/>
      </c>
      <c r="E38" s="30" t="str">
        <f aca="false">IF(proforma!E36&lt;&gt;"",(proforma!E36),"")</f>
        <v/>
      </c>
      <c r="F38" s="30"/>
    </row>
    <row r="39" customFormat="false" ht="15.75" hidden="false" customHeight="false" outlineLevel="0" collapsed="false">
      <c r="B39" s="28" t="str">
        <f aca="false">IF(proforma!B39&lt;&gt;"",(proforma!B39),"")</f>
        <v/>
      </c>
      <c r="C39" s="28" t="str">
        <f aca="false">IF(proforma!C39&lt;&gt;"",(proforma!C39),"")</f>
        <v/>
      </c>
      <c r="D39" s="29" t="str">
        <f aca="false">IF(proforma!D39&lt;&gt;"",(proforma!D39),"")</f>
        <v/>
      </c>
      <c r="E39" s="30" t="str">
        <f aca="false">IF(proforma!E37&lt;&gt;"",(proforma!E37),"")</f>
        <v/>
      </c>
      <c r="F39" s="30"/>
    </row>
    <row r="40" customFormat="false" ht="15.75" hidden="false" customHeight="false" outlineLevel="0" collapsed="false">
      <c r="B40" s="28" t="str">
        <f aca="false">IF(proforma!B40&lt;&gt;"",(proforma!B40),"")</f>
        <v/>
      </c>
      <c r="C40" s="28" t="str">
        <f aca="false">IF(proforma!C40&lt;&gt;"",(proforma!C40),"")</f>
        <v/>
      </c>
      <c r="D40" s="29" t="str">
        <f aca="false">IF(proforma!D40&lt;&gt;"",(proforma!D40),"")</f>
        <v/>
      </c>
      <c r="E40" s="30" t="str">
        <f aca="false">IF(proforma!E38&lt;&gt;"",(proforma!E38),"")</f>
        <v/>
      </c>
      <c r="F40" s="30"/>
    </row>
    <row r="41" customFormat="false" ht="15.75" hidden="false" customHeight="false" outlineLevel="0" collapsed="false">
      <c r="B41" s="28" t="str">
        <f aca="false">IF(proforma!B41&lt;&gt;"",(proforma!B41),"")</f>
        <v/>
      </c>
      <c r="C41" s="28"/>
      <c r="D41" s="29"/>
      <c r="E41" s="30" t="str">
        <f aca="false">IF(proforma!E39&lt;&gt;"",(proforma!E39),"")</f>
        <v/>
      </c>
      <c r="F41" s="30"/>
    </row>
    <row r="42" customFormat="false" ht="15.75" hidden="false" customHeight="false" outlineLevel="0" collapsed="false">
      <c r="B42" s="28" t="str">
        <f aca="false">IF(proforma!B42&lt;&gt;"",(proforma!B42),"")</f>
        <v>SUB TOTAL BASE IMPONIBLE</v>
      </c>
      <c r="C42" s="28" t="str">
        <f aca="false">IF(proforma!C40&lt;&gt;"",(proforma!C40),"")</f>
        <v/>
      </c>
      <c r="D42" s="29" t="str">
        <f aca="false">IF(proforma!D40&lt;&gt;"",(proforma!D40),"")</f>
        <v/>
      </c>
      <c r="E42" s="30" t="str">
        <f aca="false">IF(proforma!E40&lt;&gt;"",(proforma!E40),"")</f>
        <v/>
      </c>
      <c r="F42" s="30" t="str">
        <f aca="false">IF(D42&lt;&gt;"",D42*E42,"")</f>
        <v/>
      </c>
    </row>
    <row r="43" customFormat="false" ht="15.75" hidden="false" customHeight="false" outlineLevel="0" collapsed="false">
      <c r="B43" s="28" t="str">
        <f aca="false">IF(proforma!B41&lt;&gt;"",(proforma!B41),"")</f>
        <v/>
      </c>
      <c r="C43" s="28" t="str">
        <f aca="false">IF(proforma!C41&lt;&gt;"",(proforma!C41),"")</f>
        <v/>
      </c>
      <c r="D43" s="29" t="str">
        <f aca="false">IF(proforma!D41&lt;&gt;"",(proforma!D41),"")</f>
        <v/>
      </c>
      <c r="E43" s="30" t="str">
        <f aca="false">IF(proforma!E41&lt;&gt;"",(proforma!E41),"")</f>
        <v/>
      </c>
      <c r="F43" s="30" t="str">
        <f aca="false">IF(D43&lt;&gt;"",D43*E43,"")</f>
        <v/>
      </c>
    </row>
    <row r="44" customFormat="false" ht="18.75" hidden="false" customHeight="false" outlineLevel="0" collapsed="false">
      <c r="B44" s="34" t="s">
        <v>26</v>
      </c>
      <c r="C44" s="34"/>
      <c r="D44" s="35"/>
      <c r="E44" s="36"/>
      <c r="F44" s="37" t="n">
        <f aca="false">SUM(F18:F43)</f>
        <v>0</v>
      </c>
    </row>
    <row r="45" customFormat="false" ht="18.75" hidden="false" customHeight="false" outlineLevel="0" collapsed="false">
      <c r="B45" s="38" t="str">
        <f aca="false">proforma!B43</f>
        <v>Descuento %</v>
      </c>
      <c r="C45" s="38"/>
      <c r="D45" s="89" t="n">
        <f aca="false">proforma!D43</f>
        <v>50</v>
      </c>
      <c r="E45" s="90"/>
      <c r="F45" s="41" t="n">
        <f aca="false">proforma!F43</f>
        <v>-0</v>
      </c>
    </row>
    <row r="46" customFormat="false" ht="18.75" hidden="false" customHeight="false" outlineLevel="0" collapsed="false">
      <c r="B46" s="43" t="str">
        <f aca="false">IF(proforma!B44&lt;&gt;"",(proforma!B44),"")</f>
        <v>TOTAL BASE IMPONIBLE PINTURAS</v>
      </c>
      <c r="C46" s="43"/>
      <c r="D46" s="43" t="str">
        <f aca="false">IF(proforma!D44&lt;&gt;"",(proforma!D44),"")</f>
        <v/>
      </c>
      <c r="E46" s="44"/>
      <c r="F46" s="44" t="n">
        <f aca="false">SUM(F44:F45)</f>
        <v>0</v>
      </c>
    </row>
    <row r="47" customFormat="false" ht="18.75" hidden="false" customHeight="false" outlineLevel="0" collapsed="false">
      <c r="B47" s="45" t="str">
        <f aca="false">IF(proforma!B45&lt;&gt;"",(proforma!B45),"")</f>
        <v>Portes Península</v>
      </c>
      <c r="C47" s="45"/>
      <c r="D47" s="45" t="n">
        <f aca="false">IF(proforma!D45&lt;&gt;"",(proforma!D45),"")</f>
        <v>1</v>
      </c>
      <c r="E47" s="47"/>
      <c r="F47" s="47" t="n">
        <f aca="false">proforma!F45</f>
        <v>17</v>
      </c>
    </row>
    <row r="48" customFormat="false" ht="18.75" hidden="false" customHeight="false" outlineLevel="0" collapsed="false">
      <c r="B48" s="45" t="str">
        <f aca="false">IF(proforma!B46&lt;&gt;"",(proforma!B46),"")</f>
        <v>MANO DE OBRA</v>
      </c>
      <c r="C48" s="45"/>
      <c r="D48" s="45" t="str">
        <f aca="false">IF(proforma!D46&lt;&gt;"",(proforma!D46),"")</f>
        <v/>
      </c>
      <c r="E48" s="47" t="str">
        <f aca="false">IF(proforma!E46&lt;&gt;"",(proforma!E46),"")</f>
        <v/>
      </c>
      <c r="F48" s="47" t="str">
        <f aca="false">proforma!F46</f>
        <v/>
      </c>
    </row>
    <row r="49" customFormat="false" ht="18.75" hidden="false" customHeight="false" outlineLevel="0" collapsed="false">
      <c r="B49" s="38" t="str">
        <f aca="false">IF(proforma!B47&lt;&gt;"",(proforma!B47),"")</f>
        <v>Otros Varios</v>
      </c>
      <c r="C49" s="38"/>
      <c r="D49" s="38" t="str">
        <f aca="false">IF(proforma!D47&lt;&gt;"",(proforma!D47),"")</f>
        <v/>
      </c>
      <c r="E49" s="41" t="str">
        <f aca="false">IF(proforma!E47&lt;&gt;"",(proforma!E47),"")</f>
        <v/>
      </c>
      <c r="F49" s="41" t="str">
        <f aca="false">proforma!F47</f>
        <v/>
      </c>
    </row>
    <row r="50" customFormat="false" ht="18.75" hidden="false" customHeight="false" outlineLevel="0" collapsed="false">
      <c r="B50" s="43" t="str">
        <f aca="false">IF(proforma!B48&lt;&gt;"",(proforma!B48),"")</f>
        <v>TOTAL BASE IMPONIBLE</v>
      </c>
      <c r="C50" s="43"/>
      <c r="D50" s="43" t="str">
        <f aca="false">IF(proforma!D48&lt;&gt;"",(proforma!D48),"")</f>
        <v/>
      </c>
      <c r="E50" s="44"/>
      <c r="F50" s="44" t="n">
        <f aca="false">SUM(F46:F49)</f>
        <v>17</v>
      </c>
    </row>
    <row r="51" customFormat="false" ht="18.75" hidden="false" customHeight="false" outlineLevel="0" collapsed="false">
      <c r="B51" s="45" t="str">
        <f aca="false">IF(proforma!B49&lt;&gt;"",(proforma!B49),"")</f>
        <v>21% IVA</v>
      </c>
      <c r="C51" s="45"/>
      <c r="D51" s="45" t="str">
        <f aca="false">IF(proforma!D49&lt;&gt;"",(proforma!D49),"")</f>
        <v/>
      </c>
      <c r="E51" s="47"/>
      <c r="F51" s="47" t="n">
        <f aca="false">IF(proforma!F49&lt;&gt;"",(proforma!F49),"")</f>
        <v>3.57</v>
      </c>
    </row>
    <row r="52" s="48" customFormat="true" ht="21" hidden="false" customHeight="false" outlineLevel="0" collapsed="false">
      <c r="B52" s="91" t="s">
        <v>36</v>
      </c>
      <c r="C52" s="91"/>
      <c r="D52" s="91"/>
      <c r="E52" s="92"/>
      <c r="F52" s="92" t="n">
        <f aca="false">SUM(F50:F51)</f>
        <v>20.57</v>
      </c>
    </row>
    <row r="53" customFormat="false" ht="12" hidden="false" customHeight="true" outlineLevel="0" collapsed="false"/>
    <row r="54" customFormat="false" ht="12" hidden="false" customHeight="true" outlineLevel="0" collapsed="false"/>
    <row r="55" customFormat="false" ht="23.25" hidden="false" customHeight="false" outlineLevel="0" collapsed="false">
      <c r="B55" s="6" t="s">
        <v>37</v>
      </c>
    </row>
    <row r="56" customFormat="false" ht="12" hidden="false" customHeight="true" outlineLevel="0" collapsed="false"/>
    <row r="57" customFormat="false" ht="15.75" hidden="false" customHeight="false" outlineLevel="0" collapsed="false">
      <c r="B57" s="93" t="s">
        <v>38</v>
      </c>
      <c r="C57" s="93" t="str">
        <f aca="false">proforma!C55</f>
        <v>Transferencia</v>
      </c>
      <c r="D57" s="93"/>
      <c r="E57" s="94"/>
      <c r="F57" s="94"/>
    </row>
    <row r="58" customFormat="false" ht="15.75" hidden="false" customHeight="false" outlineLevel="0" collapsed="false">
      <c r="B58" s="93" t="s">
        <v>40</v>
      </c>
      <c r="C58" s="95" t="str">
        <f aca="false">proforma!C56</f>
        <v>Banco Sabadell  IBAN: ES14 0081 0286 8800 0184 3288</v>
      </c>
      <c r="D58" s="95"/>
      <c r="E58" s="96"/>
      <c r="F58" s="94"/>
    </row>
    <row r="59" customFormat="false" ht="15.75" hidden="false" customHeight="false" outlineLevel="0" collapsed="false">
      <c r="B59" s="93" t="s">
        <v>42</v>
      </c>
      <c r="C59" s="93" t="str">
        <f aca="false">proforma!C57</f>
        <v>portes pagados</v>
      </c>
      <c r="D59" s="93"/>
      <c r="E59" s="94"/>
      <c r="F59" s="94"/>
    </row>
    <row r="60" customFormat="false" ht="15.75" hidden="false" customHeight="false" outlineLevel="0" collapsed="false">
      <c r="B60" s="97" t="s">
        <v>44</v>
      </c>
      <c r="C60" s="98" t="str">
        <f aca="false">IF(proforma!C58&lt;&gt;"",(proforma!C58),"")</f>
        <v/>
      </c>
      <c r="D60" s="97"/>
      <c r="E60" s="99"/>
      <c r="F60" s="99"/>
    </row>
    <row r="61" customFormat="false" ht="12" hidden="false" customHeight="true" outlineLevel="0" collapsed="false"/>
    <row r="62" customFormat="false" ht="12" hidden="false" customHeight="true" outlineLevel="0" collapsed="false"/>
    <row r="63" customFormat="false" ht="18.75" hidden="false" customHeight="false" outlineLevel="0" collapsed="false">
      <c r="B63" s="61" t="s">
        <v>45</v>
      </c>
      <c r="E63" s="53"/>
      <c r="F63" s="53"/>
    </row>
    <row r="64" customFormat="false" ht="12" hidden="false" customHeight="true" outlineLevel="0" collapsed="false">
      <c r="B64" s="52" t="s">
        <v>60</v>
      </c>
      <c r="E64" s="62"/>
      <c r="F64" s="63" t="s">
        <v>47</v>
      </c>
    </row>
    <row r="65" customFormat="false" ht="12.75" hidden="false" customHeight="true" outlineLevel="0" collapsed="false">
      <c r="B65" s="1" t="s">
        <v>48</v>
      </c>
      <c r="E65" s="62"/>
      <c r="F65" s="63"/>
    </row>
    <row r="66" customFormat="false" ht="13.5" hidden="false" customHeight="true" outlineLevel="0" collapsed="false">
      <c r="B66" s="1" t="s">
        <v>49</v>
      </c>
      <c r="C66" s="52"/>
      <c r="E66" s="64" t="s">
        <v>50</v>
      </c>
      <c r="F66" s="52"/>
    </row>
    <row r="67" customFormat="false" ht="15.75" hidden="false" customHeight="false" outlineLevel="0" collapsed="false">
      <c r="B67" s="52"/>
      <c r="C67" s="52"/>
      <c r="D67" s="52"/>
      <c r="E67" s="65" t="s">
        <v>51</v>
      </c>
      <c r="F67" s="52"/>
    </row>
  </sheetData>
  <hyperlinks>
    <hyperlink ref="E66" r:id="rId1" display="E-mail: hola@nchemicals.es"/>
    <hyperlink ref="E67" r:id="rId2" display="suelosderesina@gmail.com"/>
  </hyperlink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0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B4:F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3" activeCellId="0" sqref="C13"/>
    </sheetView>
  </sheetViews>
  <sheetFormatPr defaultColWidth="11.43359375" defaultRowHeight="15.75" zeroHeight="false" outlineLevelRow="0" outlineLevelCol="0"/>
  <cols>
    <col collapsed="false" customWidth="true" hidden="false" outlineLevel="0" max="1" min="1" style="1" width="3.14"/>
    <col collapsed="false" customWidth="true" hidden="false" outlineLevel="0" max="2" min="2" style="1" width="20.86"/>
    <col collapsed="false" customWidth="true" hidden="false" outlineLevel="0" max="3" min="3" style="1" width="37.14"/>
    <col collapsed="false" customWidth="true" hidden="false" outlineLevel="0" max="4" min="4" style="1" width="13.01"/>
    <col collapsed="false" customWidth="true" hidden="false" outlineLevel="0" max="5" min="5" style="2" width="23.57"/>
    <col collapsed="false" customWidth="true" hidden="false" outlineLevel="0" max="6" min="6" style="2" width="13.01"/>
    <col collapsed="false" customWidth="true" hidden="false" outlineLevel="0" max="7" min="7" style="1" width="6.86"/>
    <col collapsed="false" customWidth="false" hidden="false" outlineLevel="0" max="1024" min="8" style="1" width="11.42"/>
  </cols>
  <sheetData>
    <row r="4" customFormat="false" ht="26.25" hidden="false" customHeight="false" outlineLevel="0" collapsed="false">
      <c r="E4" s="3" t="s">
        <v>61</v>
      </c>
    </row>
    <row r="5" customFormat="false" ht="21" hidden="false" customHeight="false" outlineLevel="0" collapsed="false">
      <c r="E5" s="4" t="str">
        <f aca="false">proforma!D5</f>
        <v>PROFORMA: 291225462RNM</v>
      </c>
    </row>
    <row r="6" customFormat="false" ht="21" hidden="false" customHeight="false" outlineLevel="0" collapsed="false">
      <c r="E6" s="4" t="str">
        <f aca="false">proforma!D6</f>
        <v>FECHA.26/12/2025</v>
      </c>
    </row>
    <row r="8" customFormat="false" ht="23.25" hidden="false" customHeight="false" outlineLevel="0" collapsed="false">
      <c r="B8" s="6" t="s">
        <v>3</v>
      </c>
      <c r="C8" s="4"/>
    </row>
    <row r="9" customFormat="false" ht="18.75" hidden="false" customHeight="false" outlineLevel="0" collapsed="false">
      <c r="B9" s="72" t="s">
        <v>4</v>
      </c>
      <c r="C9" s="34" t="str">
        <f aca="false">IF(proforma!C9&lt;&gt;"",(proforma!C9),"")</f>
        <v>GABRIEL PASCUAL CEREZO</v>
      </c>
      <c r="D9" s="72" t="s">
        <v>6</v>
      </c>
      <c r="E9" s="73" t="str">
        <f aca="false">IF(proforma!E9&lt;&gt;"",(proforma!E9),"")</f>
        <v>70247465Z</v>
      </c>
      <c r="F9" s="10"/>
    </row>
    <row r="10" customFormat="false" ht="18.75" hidden="false" customHeight="false" outlineLevel="0" collapsed="false">
      <c r="B10" s="72" t="s">
        <v>8</v>
      </c>
      <c r="C10" s="34" t="str">
        <f aca="false">IF(proforma!C10&lt;I11&gt;"",(proforma!C10),"")</f>
        <v>PLAZA TIRSO DE MOLINA 9,LOCAL TANTALOS</v>
      </c>
      <c r="D10" s="72" t="s">
        <v>10</v>
      </c>
      <c r="E10" s="100" t="n">
        <f aca="false">IF(proforma!E10&lt;&gt;"",(proforma!E10),"")</f>
        <v>40006</v>
      </c>
      <c r="F10" s="10"/>
    </row>
    <row r="11" customFormat="false" ht="18.75" hidden="false" customHeight="false" outlineLevel="0" collapsed="false">
      <c r="B11" s="72" t="s">
        <v>11</v>
      </c>
      <c r="C11" s="34" t="str">
        <f aca="false">IF(proforma!C11&lt;&gt;"",(proforma!C11),"")</f>
        <v>SEGOVIA</v>
      </c>
      <c r="D11" s="72" t="s">
        <v>13</v>
      </c>
      <c r="E11" s="14" t="str">
        <f aca="false">IF(proforma!E11&lt;&gt;"",(proforma!E11),"")</f>
        <v>SEGOVIA</v>
      </c>
      <c r="F11" s="10"/>
    </row>
    <row r="12" customFormat="false" ht="18.75" hidden="false" customHeight="false" outlineLevel="0" collapsed="false">
      <c r="B12" s="72" t="s">
        <v>14</v>
      </c>
      <c r="C12" s="34" t="str">
        <f aca="false">IF(proforma!C12&lt;&gt;"",(proforma!C12),"")</f>
        <v>ESPAÑA</v>
      </c>
      <c r="D12" s="72" t="s">
        <v>16</v>
      </c>
      <c r="E12" s="73" t="n">
        <f aca="false">IF(proforma!E12&lt;&gt;"",(proforma!E12),"")</f>
        <v>655594981</v>
      </c>
      <c r="F12" s="10"/>
    </row>
    <row r="13" customFormat="false" ht="18.75" hidden="false" customHeight="false" outlineLevel="0" collapsed="false">
      <c r="B13" s="72" t="s">
        <v>17</v>
      </c>
      <c r="C13" s="72" t="str">
        <f aca="false">IF(proforma!C13&lt;&gt;"",(proforma!C13),"")</f>
        <v>GABRIEL PASCUAL CEREZO</v>
      </c>
      <c r="D13" s="72" t="s">
        <v>18</v>
      </c>
      <c r="E13" s="101" t="str">
        <f aca="false">IF(proforma!E13&lt;&gt;"",(proforma!E13),"")</f>
        <v>gabi@tantalos.es</v>
      </c>
      <c r="F13" s="10"/>
    </row>
    <row r="14" customFormat="false" ht="18.75" hidden="false" customHeight="false" outlineLevel="0" collapsed="false">
      <c r="B14" s="16"/>
      <c r="C14" s="16"/>
      <c r="D14" s="16"/>
      <c r="E14" s="82" t="str">
        <f aca="false">IF(proforma!E14&lt;&gt;"",(proforma!E14),"")</f>
        <v/>
      </c>
      <c r="F14" s="17"/>
    </row>
    <row r="15" customFormat="false" ht="23.25" hidden="false" customHeight="false" outlineLevel="0" collapsed="false">
      <c r="B15" s="6" t="s">
        <v>20</v>
      </c>
      <c r="E15" s="85"/>
    </row>
    <row r="17" s="19" customFormat="true" ht="21" hidden="false" customHeight="false" outlineLevel="0" collapsed="false">
      <c r="B17" s="20" t="s">
        <v>22</v>
      </c>
      <c r="C17" s="20"/>
      <c r="D17" s="21" t="s">
        <v>23</v>
      </c>
      <c r="E17" s="22" t="s">
        <v>24</v>
      </c>
      <c r="F17" s="22" t="s">
        <v>25</v>
      </c>
    </row>
    <row r="18" customFormat="false" ht="15.75" hidden="false" customHeight="false" outlineLevel="0" collapsed="false">
      <c r="B18" s="23"/>
      <c r="C18" s="23"/>
      <c r="D18" s="24"/>
      <c r="E18" s="25"/>
      <c r="F18" s="26" t="str">
        <f aca="false">IF(D18&lt;&gt;"",D18*E18,"")</f>
        <v/>
      </c>
    </row>
    <row r="19" customFormat="false" ht="15.75" hidden="false" customHeight="false" outlineLevel="0" collapsed="false">
      <c r="B19" s="28" t="str">
        <f aca="false">IF(proforma!B19&lt;&gt;"",(proforma!B19),"")</f>
        <v/>
      </c>
      <c r="C19" s="28" t="str">
        <f aca="false">IF(proforma!C19&lt;&gt;"",(proforma!C19),"")</f>
        <v/>
      </c>
      <c r="D19" s="29" t="str">
        <f aca="false">IF(proforma!D19&lt;&gt;"",(proforma!D19),"")</f>
        <v/>
      </c>
      <c r="E19" s="30"/>
      <c r="F19" s="30"/>
    </row>
    <row r="20" customFormat="false" ht="15.75" hidden="false" customHeight="false" outlineLevel="0" collapsed="false">
      <c r="B20" s="28" t="str">
        <f aca="false">IF(proforma!B20&lt;&gt;"",(proforma!B20),"")</f>
        <v/>
      </c>
      <c r="C20" s="28" t="str">
        <f aca="false">IF(proforma!C20&lt;&gt;"",(proforma!C20),"")</f>
        <v/>
      </c>
      <c r="D20" s="29" t="str">
        <f aca="false">IF(proforma!D20&lt;&gt;"",(proforma!D20),"")</f>
        <v/>
      </c>
      <c r="E20" s="30"/>
      <c r="F20" s="30"/>
    </row>
    <row r="21" customFormat="false" ht="15.75" hidden="false" customHeight="false" outlineLevel="0" collapsed="false">
      <c r="B21" s="28" t="str">
        <f aca="false">IF(proforma!B21&lt;&gt;"",(proforma!B21),"")</f>
        <v/>
      </c>
      <c r="C21" s="28" t="str">
        <f aca="false">IF(proforma!C21&lt;&gt;"",(proforma!C21),"")</f>
        <v/>
      </c>
      <c r="D21" s="29" t="str">
        <f aca="false">IF(proforma!D21&lt;&gt;"",(proforma!D21),"")</f>
        <v/>
      </c>
      <c r="E21" s="30"/>
      <c r="F21" s="30"/>
    </row>
    <row r="22" customFormat="false" ht="15.75" hidden="false" customHeight="false" outlineLevel="0" collapsed="false">
      <c r="B22" s="28" t="str">
        <f aca="false">IF(proforma!B22&lt;&gt;"",(proforma!B22),"")</f>
        <v/>
      </c>
      <c r="C22" s="28" t="str">
        <f aca="false">IF(proforma!C22&lt;&gt;"",(proforma!C22),"")</f>
        <v/>
      </c>
      <c r="D22" s="29" t="str">
        <f aca="false">IF(proforma!D22&lt;&gt;"",(proforma!D22),"")</f>
        <v/>
      </c>
      <c r="E22" s="30"/>
      <c r="F22" s="30"/>
    </row>
    <row r="23" customFormat="false" ht="15.75" hidden="false" customHeight="false" outlineLevel="0" collapsed="false">
      <c r="B23" s="28" t="str">
        <f aca="false">IF(proforma!B23&lt;&gt;"",(proforma!B23),"")</f>
        <v/>
      </c>
      <c r="C23" s="28" t="str">
        <f aca="false">IF(proforma!C23&lt;&gt;"",(proforma!C23),"")</f>
        <v/>
      </c>
      <c r="D23" s="29" t="str">
        <f aca="false">IF(proforma!D23&lt;&gt;"",(proforma!D23),"")</f>
        <v/>
      </c>
      <c r="E23" s="30"/>
      <c r="F23" s="30"/>
    </row>
    <row r="24" customFormat="false" ht="15.75" hidden="false" customHeight="false" outlineLevel="0" collapsed="false">
      <c r="B24" s="28" t="str">
        <f aca="false">IF(proforma!B24&lt;&gt;"",(proforma!B24),"")</f>
        <v/>
      </c>
      <c r="C24" s="28" t="str">
        <f aca="false">IF(proforma!C24&lt;&gt;"",(proforma!C24),"")</f>
        <v/>
      </c>
      <c r="D24" s="29" t="str">
        <f aca="false">IF(proforma!D24&lt;&gt;"",(proforma!D24),"")</f>
        <v/>
      </c>
      <c r="E24" s="30"/>
      <c r="F24" s="30"/>
    </row>
    <row r="25" customFormat="false" ht="15.75" hidden="false" customHeight="false" outlineLevel="0" collapsed="false">
      <c r="B25" s="28" t="str">
        <f aca="false">IF(proforma!B25&lt;&gt;"",(proforma!B25),"")</f>
        <v/>
      </c>
      <c r="C25" s="28" t="str">
        <f aca="false">IF(proforma!C25&lt;&gt;"",(proforma!C25),"")</f>
        <v/>
      </c>
      <c r="D25" s="29" t="str">
        <f aca="false">IF(proforma!D25&lt;&gt;"",(proforma!D25),"")</f>
        <v/>
      </c>
      <c r="E25" s="30"/>
      <c r="F25" s="30"/>
    </row>
    <row r="26" customFormat="false" ht="15.75" hidden="false" customHeight="false" outlineLevel="0" collapsed="false">
      <c r="B26" s="28" t="str">
        <f aca="false">IF(proforma!B26&lt;&gt;"",(proforma!B26),"")</f>
        <v/>
      </c>
      <c r="C26" s="28" t="str">
        <f aca="false">IF(proforma!C26&lt;&gt;"",(proforma!C26),"")</f>
        <v/>
      </c>
      <c r="D26" s="29" t="str">
        <f aca="false">IF(proforma!D26&lt;&gt;"",(proforma!D26),"")</f>
        <v/>
      </c>
      <c r="E26" s="30"/>
      <c r="F26" s="30"/>
    </row>
    <row r="27" customFormat="false" ht="15.75" hidden="false" customHeight="false" outlineLevel="0" collapsed="false">
      <c r="B27" s="28" t="str">
        <f aca="false">IF(proforma!B27&lt;&gt;"",(proforma!B27),"")</f>
        <v/>
      </c>
      <c r="C27" s="28" t="str">
        <f aca="false">IF(proforma!C27&lt;&gt;"",(proforma!C27),"")</f>
        <v/>
      </c>
      <c r="D27" s="29" t="str">
        <f aca="false">IF(proforma!D27&lt;&gt;"",(proforma!D27),"")</f>
        <v/>
      </c>
      <c r="E27" s="30"/>
      <c r="F27" s="30"/>
    </row>
    <row r="28" customFormat="false" ht="15.75" hidden="false" customHeight="false" outlineLevel="0" collapsed="false">
      <c r="B28" s="28" t="str">
        <f aca="false">IF(proforma!B28&lt;&gt;"",(proforma!B28),"")</f>
        <v/>
      </c>
      <c r="C28" s="28" t="str">
        <f aca="false">IF(proforma!C28&lt;&gt;"",(proforma!C28),"")</f>
        <v/>
      </c>
      <c r="D28" s="29" t="str">
        <f aca="false">IF(proforma!D28&lt;&gt;"",(proforma!D28),"")</f>
        <v/>
      </c>
      <c r="E28" s="30"/>
      <c r="F28" s="30"/>
    </row>
    <row r="29" customFormat="false" ht="15.75" hidden="false" customHeight="false" outlineLevel="0" collapsed="false">
      <c r="B29" s="28" t="str">
        <f aca="false">IF(proforma!B29&lt;&gt;"",(proforma!B29),"")</f>
        <v/>
      </c>
      <c r="C29" s="28" t="str">
        <f aca="false">IF(proforma!C29&lt;&gt;"",(proforma!C29),"")</f>
        <v/>
      </c>
      <c r="D29" s="29" t="str">
        <f aca="false">IF(proforma!D29&lt;&gt;"",(proforma!D29),"")</f>
        <v/>
      </c>
      <c r="E29" s="30"/>
      <c r="F29" s="30"/>
    </row>
    <row r="30" customFormat="false" ht="15.75" hidden="false" customHeight="false" outlineLevel="0" collapsed="false">
      <c r="B30" s="28" t="str">
        <f aca="false">IF(proforma!B30&lt;&gt;"",(proforma!B30),"")</f>
        <v/>
      </c>
      <c r="C30" s="28" t="str">
        <f aca="false">IF(proforma!C30&lt;&gt;"",(proforma!C30),"")</f>
        <v/>
      </c>
      <c r="D30" s="29" t="str">
        <f aca="false">IF(proforma!D30&lt;&gt;"",(proforma!D30),"")</f>
        <v/>
      </c>
      <c r="E30" s="30"/>
      <c r="F30" s="30"/>
    </row>
    <row r="31" customFormat="false" ht="15.75" hidden="false" customHeight="false" outlineLevel="0" collapsed="false">
      <c r="B31" s="28" t="str">
        <f aca="false">IF(proforma!B31&lt;&gt;"",(proforma!B31),"")</f>
        <v/>
      </c>
      <c r="C31" s="28" t="str">
        <f aca="false">IF(proforma!C31&lt;&gt;"",(proforma!C31),"")</f>
        <v/>
      </c>
      <c r="D31" s="29" t="str">
        <f aca="false">IF(proforma!D31&lt;&gt;"",(proforma!D31),"")</f>
        <v/>
      </c>
      <c r="E31" s="30"/>
      <c r="F31" s="30"/>
    </row>
    <row r="32" customFormat="false" ht="15.75" hidden="false" customHeight="false" outlineLevel="0" collapsed="false">
      <c r="B32" s="28" t="str">
        <f aca="false">IF(proforma!B32&lt;&gt;"",(proforma!B32),"")</f>
        <v/>
      </c>
      <c r="C32" s="28" t="str">
        <f aca="false">IF(proforma!C32&lt;&gt;"",(proforma!C32),"")</f>
        <v/>
      </c>
      <c r="D32" s="29" t="str">
        <f aca="false">IF(proforma!D32&lt;&gt;"",(proforma!D32),"")</f>
        <v/>
      </c>
      <c r="E32" s="30"/>
      <c r="F32" s="30"/>
    </row>
    <row r="33" customFormat="false" ht="15.75" hidden="false" customHeight="false" outlineLevel="0" collapsed="false">
      <c r="B33" s="28" t="str">
        <f aca="false">IF(proforma!B33&lt;&gt;"",(proforma!B33),"")</f>
        <v/>
      </c>
      <c r="C33" s="28" t="str">
        <f aca="false">IF(proforma!C33&lt;&gt;"",(proforma!C33),"")</f>
        <v/>
      </c>
      <c r="D33" s="29" t="str">
        <f aca="false">IF(proforma!D33&lt;&gt;"",(proforma!D33),"")</f>
        <v/>
      </c>
      <c r="E33" s="30"/>
      <c r="F33" s="30"/>
    </row>
    <row r="34" customFormat="false" ht="15.75" hidden="false" customHeight="false" outlineLevel="0" collapsed="false">
      <c r="B34" s="28" t="str">
        <f aca="false">IF(proforma!B34&lt;&gt;"",(proforma!B34),"")</f>
        <v/>
      </c>
      <c r="C34" s="28" t="str">
        <f aca="false">IF(proforma!C34&lt;&gt;"",(proforma!C34),"")</f>
        <v/>
      </c>
      <c r="D34" s="29" t="str">
        <f aca="false">IF(proforma!D34&lt;&gt;"",(proforma!D34),"")</f>
        <v/>
      </c>
      <c r="E34" s="30"/>
      <c r="F34" s="30"/>
    </row>
    <row r="35" customFormat="false" ht="15.75" hidden="false" customHeight="false" outlineLevel="0" collapsed="false">
      <c r="B35" s="28" t="str">
        <f aca="false">IF(proforma!B35&lt;&gt;"",(proforma!B35),"")</f>
        <v/>
      </c>
      <c r="C35" s="28" t="str">
        <f aca="false">IF(proforma!C35&lt;&gt;"",(proforma!C35),"")</f>
        <v/>
      </c>
      <c r="D35" s="29" t="str">
        <f aca="false">IF(proforma!D35&lt;&gt;"",(proforma!D35),"")</f>
        <v/>
      </c>
      <c r="E35" s="30"/>
      <c r="F35" s="30"/>
    </row>
    <row r="36" customFormat="false" ht="15.75" hidden="false" customHeight="false" outlineLevel="0" collapsed="false">
      <c r="B36" s="28" t="str">
        <f aca="false">IF(proforma!B36&lt;&gt;"",(proforma!B36),"")</f>
        <v/>
      </c>
      <c r="C36" s="28" t="str">
        <f aca="false">IF(proforma!C36&lt;&gt;"",(proforma!C36),"")</f>
        <v/>
      </c>
      <c r="D36" s="29" t="str">
        <f aca="false">IF(proforma!D36&lt;&gt;"",(proforma!D36),"")</f>
        <v/>
      </c>
      <c r="E36" s="30"/>
      <c r="F36" s="30"/>
    </row>
    <row r="37" customFormat="false" ht="15.75" hidden="false" customHeight="false" outlineLevel="0" collapsed="false">
      <c r="B37" s="28" t="str">
        <f aca="false">IF(proforma!B37&lt;&gt;"",(proforma!B37),"")</f>
        <v/>
      </c>
      <c r="C37" s="28" t="str">
        <f aca="false">IF(proforma!C37&lt;&gt;"",(proforma!C37),"")</f>
        <v/>
      </c>
      <c r="D37" s="29" t="str">
        <f aca="false">IF(proforma!D37&lt;&gt;"",(proforma!D37),"")</f>
        <v/>
      </c>
      <c r="E37" s="30"/>
      <c r="F37" s="30"/>
    </row>
    <row r="38" customFormat="false" ht="15.75" hidden="false" customHeight="false" outlineLevel="0" collapsed="false">
      <c r="B38" s="28" t="str">
        <f aca="false">IF(proforma!B38&lt;&gt;"",(proforma!B38),"")</f>
        <v/>
      </c>
      <c r="C38" s="28" t="str">
        <f aca="false">IF(proforma!C38&lt;&gt;"",(proforma!C38),"")</f>
        <v/>
      </c>
      <c r="D38" s="29" t="str">
        <f aca="false">IF(proforma!D38&lt;&gt;"",(proforma!D38),"")</f>
        <v/>
      </c>
      <c r="E38" s="30"/>
      <c r="F38" s="30"/>
    </row>
    <row r="39" customFormat="false" ht="15.75" hidden="false" customHeight="false" outlineLevel="0" collapsed="false">
      <c r="B39" s="28" t="str">
        <f aca="false">IF(proforma!B39&lt;&gt;"",(proforma!B39),"")</f>
        <v/>
      </c>
      <c r="C39" s="28" t="str">
        <f aca="false">IF(proforma!C39&lt;&gt;"",(proforma!C39),"")</f>
        <v/>
      </c>
      <c r="D39" s="29" t="str">
        <f aca="false">IF(proforma!D39&lt;&gt;"",(proforma!D39),"")</f>
        <v/>
      </c>
      <c r="E39" s="30"/>
      <c r="F39" s="30"/>
    </row>
    <row r="40" customFormat="false" ht="15.75" hidden="false" customHeight="false" outlineLevel="0" collapsed="false">
      <c r="B40" s="28" t="str">
        <f aca="false">IF(proforma!B40&lt;&gt;"",(proforma!B40),"")</f>
        <v/>
      </c>
      <c r="C40" s="28" t="str">
        <f aca="false">IF(proforma!C40&lt;&gt;"",(proforma!C40),"")</f>
        <v/>
      </c>
      <c r="D40" s="29" t="str">
        <f aca="false">IF(proforma!D40&lt;&gt;"",(proforma!D40),"")</f>
        <v/>
      </c>
      <c r="E40" s="30"/>
      <c r="F40" s="30"/>
    </row>
    <row r="41" customFormat="false" ht="15.75" hidden="false" customHeight="false" outlineLevel="0" collapsed="false">
      <c r="B41" s="28" t="str">
        <f aca="false">IF(proforma!B41&lt;&gt;"",(proforma!B41),"")</f>
        <v/>
      </c>
      <c r="C41" s="28" t="str">
        <f aca="false">IF(proforma!C41&lt;&gt;"",(proforma!C41),"")</f>
        <v/>
      </c>
      <c r="D41" s="29"/>
      <c r="E41" s="30"/>
      <c r="F41" s="30"/>
    </row>
    <row r="42" customFormat="false" ht="15.75" hidden="false" customHeight="false" outlineLevel="0" collapsed="false">
      <c r="B42" s="28" t="str">
        <f aca="false">IF(proforma!B42&lt;&gt;"",(proforma!B42),"")</f>
        <v>SUB TOTAL BASE IMPONIBLE</v>
      </c>
      <c r="C42" s="28" t="str">
        <f aca="false">IF(proforma!C42&lt;&gt;"",(proforma!C42),"")</f>
        <v/>
      </c>
      <c r="D42" s="29"/>
      <c r="E42" s="30"/>
      <c r="F42" s="30"/>
    </row>
    <row r="43" customFormat="false" ht="15.75" hidden="false" customHeight="false" outlineLevel="0" collapsed="false">
      <c r="B43" s="28" t="str">
        <f aca="false">IF(proforma!B43&lt;&gt;"",(proforma!B43),"")</f>
        <v>Descuento %</v>
      </c>
      <c r="C43" s="28" t="str">
        <f aca="false">IF(proforma!C43&lt;&gt;"",(proforma!C43),"")</f>
        <v>ESPECIAL</v>
      </c>
      <c r="D43" s="29" t="str">
        <f aca="false">IF(proforma!D41&lt;&gt;"",(proforma!D41),"")</f>
        <v/>
      </c>
      <c r="E43" s="30"/>
      <c r="F43" s="30"/>
    </row>
    <row r="44" customFormat="false" ht="18.75" hidden="false" customHeight="false" outlineLevel="0" collapsed="false">
      <c r="B44" s="34" t="s">
        <v>26</v>
      </c>
      <c r="C44" s="34"/>
      <c r="D44" s="35"/>
      <c r="E44" s="36"/>
      <c r="F44" s="37"/>
    </row>
    <row r="45" customFormat="false" ht="18.75" hidden="false" customHeight="false" outlineLevel="0" collapsed="false">
      <c r="B45" s="38" t="str">
        <f aca="false">proforma!B43</f>
        <v>Descuento %</v>
      </c>
      <c r="C45" s="38"/>
      <c r="D45" s="89"/>
      <c r="E45" s="90"/>
      <c r="F45" s="41"/>
    </row>
    <row r="46" customFormat="false" ht="18.75" hidden="false" customHeight="false" outlineLevel="0" collapsed="false">
      <c r="B46" s="43" t="str">
        <f aca="false">IF(proforma!B44&lt;&gt;"",(proforma!B44),"")</f>
        <v>TOTAL BASE IMPONIBLE PINTURAS</v>
      </c>
      <c r="C46" s="43"/>
      <c r="D46" s="43" t="str">
        <f aca="false">IF(proforma!D44&lt;&gt;"",(proforma!D44),"")</f>
        <v/>
      </c>
      <c r="E46" s="44"/>
      <c r="F46" s="44"/>
    </row>
    <row r="47" customFormat="false" ht="18.75" hidden="false" customHeight="false" outlineLevel="0" collapsed="false">
      <c r="B47" s="45" t="str">
        <f aca="false">IF(proforma!B45&lt;&gt;"",(proforma!B45),"")</f>
        <v>Portes Península</v>
      </c>
      <c r="C47" s="45"/>
      <c r="D47" s="45"/>
      <c r="E47" s="47"/>
      <c r="F47" s="47"/>
    </row>
    <row r="48" customFormat="false" ht="18.75" hidden="false" customHeight="false" outlineLevel="0" collapsed="false">
      <c r="B48" s="45" t="str">
        <f aca="false">IF(proforma!B46&lt;&gt;"",(proforma!B46),"")</f>
        <v>MANO DE OBRA</v>
      </c>
      <c r="C48" s="45"/>
      <c r="D48" s="45" t="str">
        <f aca="false">IF(proforma!D46&lt;&gt;"",(proforma!D46),"")</f>
        <v/>
      </c>
      <c r="E48" s="47"/>
      <c r="F48" s="47"/>
    </row>
    <row r="49" customFormat="false" ht="18.75" hidden="false" customHeight="false" outlineLevel="0" collapsed="false">
      <c r="B49" s="38" t="str">
        <f aca="false">IF(proforma!B47&lt;&gt;"",(proforma!B47),"")</f>
        <v>Otros Varios</v>
      </c>
      <c r="C49" s="38"/>
      <c r="D49" s="38" t="str">
        <f aca="false">IF(proforma!D47&lt;&gt;"",(proforma!D47),"")</f>
        <v/>
      </c>
      <c r="E49" s="41"/>
      <c r="F49" s="41"/>
    </row>
    <row r="50" customFormat="false" ht="18.75" hidden="false" customHeight="false" outlineLevel="0" collapsed="false">
      <c r="B50" s="43" t="s">
        <v>34</v>
      </c>
      <c r="C50" s="43"/>
      <c r="D50" s="43" t="str">
        <f aca="false">IF(proforma!D48&lt;&gt;"",(proforma!D48),"")</f>
        <v/>
      </c>
      <c r="E50" s="44"/>
      <c r="F50" s="44"/>
    </row>
    <row r="51" customFormat="false" ht="18.75" hidden="false" customHeight="false" outlineLevel="0" collapsed="false">
      <c r="B51" s="45" t="str">
        <f aca="false">IF(proforma!B49&lt;&gt;"",(proforma!B49),"")</f>
        <v>21% IVA</v>
      </c>
      <c r="C51" s="45"/>
      <c r="D51" s="45"/>
      <c r="E51" s="47"/>
      <c r="F51" s="47"/>
    </row>
    <row r="52" s="48" customFormat="true" ht="21" hidden="false" customHeight="false" outlineLevel="0" collapsed="false">
      <c r="B52" s="91" t="s">
        <v>36</v>
      </c>
      <c r="C52" s="91"/>
      <c r="D52" s="91"/>
      <c r="E52" s="92"/>
      <c r="F52" s="92"/>
    </row>
    <row r="53" customFormat="false" ht="12" hidden="false" customHeight="true" outlineLevel="0" collapsed="false"/>
    <row r="54" customFormat="false" ht="12" hidden="false" customHeight="true" outlineLevel="0" collapsed="false"/>
    <row r="55" customFormat="false" ht="23.25" hidden="false" customHeight="false" outlineLevel="0" collapsed="false">
      <c r="B55" s="6" t="s">
        <v>37</v>
      </c>
    </row>
    <row r="56" customFormat="false" ht="12" hidden="false" customHeight="true" outlineLevel="0" collapsed="false"/>
    <row r="57" customFormat="false" ht="15.75" hidden="false" customHeight="false" outlineLevel="0" collapsed="false">
      <c r="B57" s="93" t="s">
        <v>38</v>
      </c>
      <c r="C57" s="93" t="str">
        <f aca="false">proforma!C55</f>
        <v>Transferencia</v>
      </c>
      <c r="D57" s="93"/>
      <c r="E57" s="94"/>
      <c r="F57" s="94"/>
    </row>
    <row r="58" customFormat="false" ht="15.75" hidden="false" customHeight="false" outlineLevel="0" collapsed="false">
      <c r="B58" s="93" t="s">
        <v>40</v>
      </c>
      <c r="C58" s="95" t="str">
        <f aca="false">proforma!C56</f>
        <v>Banco Sabadell  IBAN: ES14 0081 0286 8800 0184 3288</v>
      </c>
      <c r="D58" s="95"/>
      <c r="E58" s="96"/>
      <c r="F58" s="94"/>
    </row>
    <row r="59" customFormat="false" ht="15.75" hidden="false" customHeight="false" outlineLevel="0" collapsed="false">
      <c r="B59" s="93" t="s">
        <v>42</v>
      </c>
      <c r="C59" s="93" t="str">
        <f aca="false">proforma!C57</f>
        <v>portes pagados</v>
      </c>
      <c r="D59" s="93"/>
      <c r="E59" s="94"/>
      <c r="F59" s="94"/>
    </row>
    <row r="60" customFormat="false" ht="15.75" hidden="false" customHeight="false" outlineLevel="0" collapsed="false">
      <c r="B60" s="97" t="s">
        <v>44</v>
      </c>
      <c r="C60" s="98" t="str">
        <f aca="false">IF(proforma!C58&lt;&gt;"",(proforma!C58),"")</f>
        <v/>
      </c>
      <c r="D60" s="97"/>
      <c r="E60" s="99"/>
      <c r="F60" s="99"/>
    </row>
    <row r="61" customFormat="false" ht="12" hidden="false" customHeight="true" outlineLevel="0" collapsed="false"/>
    <row r="62" customFormat="false" ht="12" hidden="false" customHeight="true" outlineLevel="0" collapsed="false"/>
    <row r="63" customFormat="false" ht="18.75" hidden="false" customHeight="false" outlineLevel="0" collapsed="false">
      <c r="B63" s="61" t="s">
        <v>45</v>
      </c>
      <c r="E63" s="53"/>
      <c r="F63" s="53"/>
    </row>
    <row r="64" customFormat="false" ht="12" hidden="false" customHeight="true" outlineLevel="0" collapsed="false">
      <c r="B64" s="52" t="s">
        <v>62</v>
      </c>
      <c r="E64" s="62"/>
      <c r="F64" s="63" t="s">
        <v>47</v>
      </c>
    </row>
    <row r="65" customFormat="false" ht="12.75" hidden="false" customHeight="true" outlineLevel="0" collapsed="false">
      <c r="B65" s="1" t="s">
        <v>48</v>
      </c>
      <c r="E65" s="62"/>
      <c r="F65" s="63"/>
    </row>
    <row r="66" customFormat="false" ht="13.5" hidden="false" customHeight="true" outlineLevel="0" collapsed="false">
      <c r="B66" s="1" t="s">
        <v>49</v>
      </c>
      <c r="C66" s="52"/>
      <c r="E66" s="64" t="s">
        <v>50</v>
      </c>
      <c r="F66" s="52"/>
    </row>
    <row r="67" customFormat="false" ht="15.75" hidden="false" customHeight="false" outlineLevel="0" collapsed="false">
      <c r="B67" s="52"/>
      <c r="C67" s="52"/>
      <c r="D67" s="52"/>
      <c r="E67" s="65" t="s">
        <v>51</v>
      </c>
      <c r="F67" s="52"/>
    </row>
  </sheetData>
  <hyperlinks>
    <hyperlink ref="E66" r:id="rId1" display="E-mail: hola@nchemicals.es"/>
    <hyperlink ref="E67" r:id="rId2" display="suelosderesina@gmail.com"/>
  </hyperlink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0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4:F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1.43359375" defaultRowHeight="15.75" zeroHeight="false" outlineLevelRow="0" outlineLevelCol="0"/>
  <cols>
    <col collapsed="false" customWidth="true" hidden="false" outlineLevel="0" max="1" min="1" style="1" width="3.14"/>
    <col collapsed="false" customWidth="true" hidden="false" outlineLevel="0" max="2" min="2" style="1" width="20.86"/>
    <col collapsed="false" customWidth="true" hidden="false" outlineLevel="0" max="3" min="3" style="1" width="37.14"/>
    <col collapsed="false" customWidth="true" hidden="false" outlineLevel="0" max="4" min="4" style="1" width="10.85"/>
    <col collapsed="false" customWidth="true" hidden="false" outlineLevel="0" max="5" min="5" style="2" width="23.57"/>
    <col collapsed="false" customWidth="true" hidden="false" outlineLevel="0" max="6" min="6" style="2" width="13.01"/>
    <col collapsed="false" customWidth="true" hidden="false" outlineLevel="0" max="7" min="7" style="1" width="6.86"/>
    <col collapsed="false" customWidth="false" hidden="false" outlineLevel="0" max="1024" min="8" style="1" width="11.42"/>
  </cols>
  <sheetData>
    <row r="4" customFormat="false" ht="26.25" hidden="false" customHeight="false" outlineLevel="0" collapsed="false">
      <c r="A4" s="102"/>
      <c r="B4" s="102"/>
      <c r="C4" s="102"/>
      <c r="D4" s="102"/>
      <c r="E4" s="103" t="s">
        <v>63</v>
      </c>
      <c r="F4" s="104"/>
    </row>
    <row r="5" customFormat="false" ht="21" hidden="false" customHeight="false" outlineLevel="0" collapsed="false">
      <c r="A5" s="102"/>
      <c r="B5" s="102"/>
      <c r="C5" s="102"/>
      <c r="D5" s="102"/>
      <c r="E5" s="105" t="s">
        <v>64</v>
      </c>
      <c r="F5" s="104"/>
    </row>
    <row r="6" customFormat="false" ht="21" hidden="false" customHeight="false" outlineLevel="0" collapsed="false">
      <c r="A6" s="102"/>
      <c r="B6" s="102"/>
      <c r="C6" s="102"/>
      <c r="D6" s="102"/>
      <c r="E6" s="105" t="str">
        <f aca="false">proforma!D6</f>
        <v>FECHA.26/12/2025</v>
      </c>
      <c r="F6" s="104"/>
    </row>
    <row r="7" customFormat="false" ht="21" hidden="false" customHeight="false" outlineLevel="0" collapsed="false">
      <c r="A7" s="102"/>
      <c r="B7" s="102"/>
      <c r="C7" s="102"/>
      <c r="D7" s="102"/>
      <c r="E7" s="106" t="s">
        <v>65</v>
      </c>
      <c r="F7" s="107" t="str">
        <f aca="false">proforma!D5</f>
        <v>PROFORMA: 291225462RNM</v>
      </c>
    </row>
    <row r="8" customFormat="false" ht="23.25" hidden="false" customHeight="false" outlineLevel="0" collapsed="false">
      <c r="A8" s="102"/>
      <c r="B8" s="108" t="s">
        <v>3</v>
      </c>
      <c r="C8" s="105"/>
      <c r="D8" s="109"/>
      <c r="E8" s="104"/>
      <c r="F8" s="104"/>
    </row>
    <row r="9" customFormat="false" ht="18.75" hidden="false" customHeight="false" outlineLevel="0" collapsed="false">
      <c r="A9" s="102"/>
      <c r="B9" s="110" t="s">
        <v>4</v>
      </c>
      <c r="C9" s="111" t="str">
        <f aca="false">IF(proforma!C9&lt;&gt;"",(proforma!C9),"")</f>
        <v>GABRIEL PASCUAL CEREZO</v>
      </c>
      <c r="D9" s="110" t="s">
        <v>6</v>
      </c>
      <c r="E9" s="112" t="str">
        <f aca="false">IF(proforma!E9&lt;&gt;"",(proforma!E9),"")</f>
        <v>70247465Z</v>
      </c>
      <c r="F9" s="113"/>
    </row>
    <row r="10" customFormat="false" ht="18.75" hidden="false" customHeight="false" outlineLevel="0" collapsed="false">
      <c r="A10" s="102"/>
      <c r="B10" s="110" t="s">
        <v>8</v>
      </c>
      <c r="C10" s="111" t="str">
        <f aca="false">IF(proforma!C10&lt;&gt;"",(proforma!C10),"")</f>
        <v>PLAZA TIRSO DE MOLINA 9,LOCAL TANTALOS</v>
      </c>
      <c r="D10" s="110" t="s">
        <v>10</v>
      </c>
      <c r="E10" s="114" t="n">
        <f aca="false">IF(proforma!E10&lt;&gt;"",(proforma!E10),"")</f>
        <v>40006</v>
      </c>
      <c r="F10" s="113"/>
    </row>
    <row r="11" customFormat="false" ht="18.75" hidden="false" customHeight="false" outlineLevel="0" collapsed="false">
      <c r="A11" s="102"/>
      <c r="B11" s="110" t="s">
        <v>11</v>
      </c>
      <c r="C11" s="111" t="str">
        <f aca="false">IF(proforma!C11&lt;&gt;"",(proforma!C11),"")</f>
        <v>SEGOVIA</v>
      </c>
      <c r="D11" s="110" t="s">
        <v>13</v>
      </c>
      <c r="E11" s="115" t="str">
        <f aca="false">IF(proforma!E11&lt;&gt;"",(proforma!E11),"")</f>
        <v>SEGOVIA</v>
      </c>
      <c r="F11" s="113"/>
    </row>
    <row r="12" customFormat="false" ht="18.75" hidden="false" customHeight="false" outlineLevel="0" collapsed="false">
      <c r="A12" s="102"/>
      <c r="B12" s="110" t="s">
        <v>14</v>
      </c>
      <c r="C12" s="111" t="str">
        <f aca="false">IF(proforma!C12&lt;&gt;"",(proforma!C12),"")</f>
        <v>ESPAÑA</v>
      </c>
      <c r="D12" s="110" t="s">
        <v>16</v>
      </c>
      <c r="E12" s="112" t="n">
        <f aca="false">IF(proforma!E12&lt;&gt;"",(proforma!E12),"")</f>
        <v>655594981</v>
      </c>
      <c r="F12" s="113"/>
    </row>
    <row r="13" customFormat="false" ht="18.75" hidden="false" customHeight="false" outlineLevel="0" collapsed="false">
      <c r="A13" s="102"/>
      <c r="B13" s="110" t="s">
        <v>17</v>
      </c>
      <c r="C13" s="110" t="str">
        <f aca="false">IF(proforma!C13&lt;&gt;"",(proforma!C13),"")</f>
        <v>GABRIEL PASCUAL CEREZO</v>
      </c>
      <c r="D13" s="110" t="s">
        <v>18</v>
      </c>
      <c r="E13" s="116" t="str">
        <f aca="false">IF(proforma!E13&lt;&gt;"",(proforma!E13),"")</f>
        <v>gabi@tantalos.es</v>
      </c>
      <c r="F13" s="113"/>
    </row>
    <row r="14" customFormat="false" ht="18.75" hidden="false" customHeight="false" outlineLevel="0" collapsed="false">
      <c r="A14" s="102"/>
      <c r="B14" s="117"/>
      <c r="C14" s="117"/>
      <c r="D14" s="117"/>
      <c r="E14" s="118" t="str">
        <f aca="false">IF(proforma!E14&lt;&gt;"",(proforma!E14),"")</f>
        <v/>
      </c>
      <c r="F14" s="119"/>
    </row>
    <row r="15" customFormat="false" ht="23.25" hidden="false" customHeight="false" outlineLevel="0" collapsed="false">
      <c r="A15" s="102"/>
      <c r="B15" s="108" t="s">
        <v>20</v>
      </c>
      <c r="C15" s="109"/>
      <c r="D15" s="109"/>
      <c r="E15" s="120"/>
      <c r="F15" s="104"/>
    </row>
    <row r="16" customFormat="false" ht="15.75" hidden="false" customHeight="false" outlineLevel="0" collapsed="false">
      <c r="A16" s="102"/>
      <c r="B16" s="109"/>
      <c r="C16" s="109"/>
      <c r="D16" s="109"/>
      <c r="E16" s="104"/>
      <c r="F16" s="104"/>
    </row>
    <row r="17" s="19" customFormat="true" ht="21" hidden="false" customHeight="false" outlineLevel="0" collapsed="false">
      <c r="A17" s="121"/>
      <c r="B17" s="122" t="s">
        <v>22</v>
      </c>
      <c r="C17" s="122"/>
      <c r="D17" s="123" t="s">
        <v>23</v>
      </c>
      <c r="E17" s="124" t="s">
        <v>24</v>
      </c>
      <c r="F17" s="124" t="s">
        <v>25</v>
      </c>
    </row>
    <row r="18" customFormat="false" ht="15.75" hidden="false" customHeight="false" outlineLevel="0" collapsed="false">
      <c r="A18" s="102"/>
      <c r="B18" s="23"/>
      <c r="C18" s="23"/>
      <c r="D18" s="24"/>
      <c r="E18" s="25"/>
      <c r="F18" s="125" t="str">
        <f aca="false">IF(D18&lt;&gt;"",D18*E18,"")</f>
        <v/>
      </c>
    </row>
    <row r="19" customFormat="false" ht="15.75" hidden="false" customHeight="false" outlineLevel="0" collapsed="false">
      <c r="A19" s="102"/>
      <c r="B19" s="28" t="str">
        <f aca="false">IF(proforma!B17&lt;&gt;"",(proforma!B17),"")</f>
        <v>DENOMINACION</v>
      </c>
      <c r="C19" s="28" t="str">
        <f aca="false">IF(proforma!C17&lt;&gt;"",(proforma!C17),"")</f>
        <v/>
      </c>
      <c r="D19" s="29"/>
      <c r="E19" s="126"/>
      <c r="F19" s="126"/>
    </row>
    <row r="20" customFormat="false" ht="15.75" hidden="false" customHeight="false" outlineLevel="0" collapsed="false">
      <c r="A20" s="102"/>
      <c r="B20" s="28" t="str">
        <f aca="false">IF(proforma!B19&lt;&gt;"",(proforma!B19),"")</f>
        <v/>
      </c>
      <c r="C20" s="28" t="str">
        <f aca="false">IF(proforma!C19&lt;&gt;"",(proforma!C19),"")</f>
        <v/>
      </c>
      <c r="D20" s="29"/>
      <c r="E20" s="126" t="str">
        <f aca="false">IF(proforma!E19&lt;&gt;"",(proforma!E19),"")</f>
        <v/>
      </c>
      <c r="F20" s="126"/>
    </row>
    <row r="21" customFormat="false" ht="15.75" hidden="false" customHeight="false" outlineLevel="0" collapsed="false">
      <c r="A21" s="102"/>
      <c r="B21" s="28" t="str">
        <f aca="false">IF(proforma!B20&lt;&gt;"",(proforma!B20),"")</f>
        <v/>
      </c>
      <c r="C21" s="28" t="str">
        <f aca="false">IF(proforma!C20&lt;&gt;"",(proforma!C20),"")</f>
        <v/>
      </c>
      <c r="D21" s="29" t="str">
        <f aca="false">IF(proforma!D20&lt;&gt;"",(proforma!D20),"")</f>
        <v/>
      </c>
      <c r="E21" s="126" t="str">
        <f aca="false">IF(proforma!E20&lt;&gt;"",(proforma!E20),"")</f>
        <v/>
      </c>
      <c r="F21" s="30" t="str">
        <f aca="false">IF(D21&lt;&gt;"",D21*E21,"")</f>
        <v/>
      </c>
    </row>
    <row r="22" customFormat="false" ht="15.75" hidden="false" customHeight="false" outlineLevel="0" collapsed="false">
      <c r="A22" s="102"/>
      <c r="B22" s="28" t="str">
        <f aca="false">IF(proforma!B21&lt;&gt;"",(proforma!B21),"")</f>
        <v/>
      </c>
      <c r="C22" s="28" t="str">
        <f aca="false">IF(proforma!C21&lt;&gt;"",(proforma!C21),"")</f>
        <v/>
      </c>
      <c r="D22" s="29" t="str">
        <f aca="false">IF(proforma!D21&lt;&gt;"",(proforma!D21),"")</f>
        <v/>
      </c>
      <c r="E22" s="126" t="str">
        <f aca="false">IF(proforma!E21&lt;&gt;"",(proforma!E21),"")</f>
        <v/>
      </c>
      <c r="F22" s="126" t="str">
        <f aca="false">IF(D22&lt;&gt;"",D22*E22,"")</f>
        <v/>
      </c>
    </row>
    <row r="23" customFormat="false" ht="15.75" hidden="false" customHeight="false" outlineLevel="0" collapsed="false">
      <c r="A23" s="102"/>
      <c r="B23" s="28" t="str">
        <f aca="false">IF(proforma!B22&lt;&gt;"",(proforma!B22),"")</f>
        <v/>
      </c>
      <c r="C23" s="28" t="str">
        <f aca="false">IF(proforma!C22&lt;&gt;"",(proforma!C22),"")</f>
        <v/>
      </c>
      <c r="D23" s="29" t="str">
        <f aca="false">IF(proforma!D22&lt;&gt;"",(proforma!D22),"")</f>
        <v/>
      </c>
      <c r="E23" s="126" t="str">
        <f aca="false">IF(proforma!E22&lt;&gt;"",(proforma!E22),"")</f>
        <v/>
      </c>
      <c r="F23" s="126" t="str">
        <f aca="false">IF(D23&lt;&gt;"",D23*E23,"")</f>
        <v/>
      </c>
    </row>
    <row r="24" customFormat="false" ht="15.75" hidden="false" customHeight="false" outlineLevel="0" collapsed="false">
      <c r="A24" s="102"/>
      <c r="B24" s="28" t="str">
        <f aca="false">IF(proforma!B23&lt;&gt;"",(proforma!B23),"")</f>
        <v/>
      </c>
      <c r="C24" s="28" t="str">
        <f aca="false">IF(proforma!C23&lt;&gt;"",(proforma!C23),"")</f>
        <v/>
      </c>
      <c r="D24" s="29" t="str">
        <f aca="false">IF(proforma!D23&lt;&gt;"",(proforma!D23),"")</f>
        <v/>
      </c>
      <c r="E24" s="126" t="str">
        <f aca="false">IF(proforma!E23&lt;&gt;"",(proforma!E23),"")</f>
        <v/>
      </c>
      <c r="F24" s="126" t="str">
        <f aca="false">IF(D24&lt;&gt;"",D24*E24,"")</f>
        <v/>
      </c>
    </row>
    <row r="25" customFormat="false" ht="15.75" hidden="false" customHeight="false" outlineLevel="0" collapsed="false">
      <c r="A25" s="102"/>
      <c r="B25" s="28" t="str">
        <f aca="false">IF(proforma!B24&lt;&gt;"",(proforma!B24),"")</f>
        <v/>
      </c>
      <c r="C25" s="28" t="str">
        <f aca="false">IF(proforma!C24&lt;&gt;"",(proforma!C24),"")</f>
        <v/>
      </c>
      <c r="D25" s="29" t="str">
        <f aca="false">IF(proforma!D24&lt;&gt;"",(proforma!D24),"")</f>
        <v/>
      </c>
      <c r="E25" s="126" t="str">
        <f aca="false">IF(proforma!E24&lt;&gt;"",(proforma!E24),"")</f>
        <v/>
      </c>
      <c r="F25" s="126" t="str">
        <f aca="false">IF(D25&lt;&gt;"",D25*E25,"")</f>
        <v/>
      </c>
    </row>
    <row r="26" customFormat="false" ht="15.75" hidden="false" customHeight="false" outlineLevel="0" collapsed="false">
      <c r="A26" s="102"/>
      <c r="B26" s="28" t="str">
        <f aca="false">IF(proforma!B25&lt;&gt;"",(proforma!B25),"")</f>
        <v/>
      </c>
      <c r="C26" s="28" t="str">
        <f aca="false">IF(proforma!C25&lt;&gt;"",(proforma!C25),"")</f>
        <v/>
      </c>
      <c r="D26" s="29" t="str">
        <f aca="false">IF(proforma!D25&lt;&gt;"",(proforma!D25),"")</f>
        <v/>
      </c>
      <c r="E26" s="126" t="str">
        <f aca="false">IF(proforma!E25&lt;&gt;"",(proforma!E25),"")</f>
        <v/>
      </c>
      <c r="F26" s="126" t="str">
        <f aca="false">IF(D26&lt;&gt;"",D26*E26,"")</f>
        <v/>
      </c>
    </row>
    <row r="27" customFormat="false" ht="15.75" hidden="false" customHeight="false" outlineLevel="0" collapsed="false">
      <c r="A27" s="102"/>
      <c r="B27" s="28" t="str">
        <f aca="false">IF(proforma!B26&lt;&gt;"",(proforma!B26),"")</f>
        <v/>
      </c>
      <c r="C27" s="28" t="str">
        <f aca="false">IF(proforma!C26&lt;&gt;"",(proforma!C26),"")</f>
        <v/>
      </c>
      <c r="D27" s="29" t="str">
        <f aca="false">IF(proforma!D26&lt;&gt;"",(proforma!D26),"")</f>
        <v/>
      </c>
      <c r="E27" s="126" t="str">
        <f aca="false">IF(proforma!E26&lt;&gt;"",(proforma!E26),"")</f>
        <v/>
      </c>
      <c r="F27" s="126" t="str">
        <f aca="false">IF(D27&lt;&gt;"",D27*E27,"")</f>
        <v/>
      </c>
    </row>
    <row r="28" customFormat="false" ht="15.75" hidden="false" customHeight="false" outlineLevel="0" collapsed="false">
      <c r="A28" s="102"/>
      <c r="B28" s="28" t="str">
        <f aca="false">IF(proforma!B27&lt;&gt;"",(proforma!B27),"")</f>
        <v/>
      </c>
      <c r="C28" s="28" t="str">
        <f aca="false">IF(proforma!C27&lt;&gt;"",(proforma!C27),"")</f>
        <v/>
      </c>
      <c r="D28" s="29" t="str">
        <f aca="false">IF(proforma!D27&lt;&gt;"",(proforma!D27),"")</f>
        <v/>
      </c>
      <c r="E28" s="126" t="str">
        <f aca="false">IF(proforma!E27&lt;&gt;"",(proforma!E27),"")</f>
        <v/>
      </c>
      <c r="F28" s="126" t="str">
        <f aca="false">IF(D28&lt;&gt;"",D28*E28,"")</f>
        <v/>
      </c>
    </row>
    <row r="29" customFormat="false" ht="15.75" hidden="false" customHeight="false" outlineLevel="0" collapsed="false">
      <c r="A29" s="102"/>
      <c r="B29" s="28" t="str">
        <f aca="false">IF(proforma!B28&lt;&gt;"",(proforma!B28),"")</f>
        <v/>
      </c>
      <c r="C29" s="28" t="str">
        <f aca="false">IF(proforma!C28&lt;&gt;"",(proforma!C28),"")</f>
        <v/>
      </c>
      <c r="D29" s="29" t="str">
        <f aca="false">IF(proforma!D28&lt;&gt;"",(proforma!D28),"")</f>
        <v/>
      </c>
      <c r="E29" s="126" t="str">
        <f aca="false">IF(proforma!E28&lt;&gt;"",(proforma!E28),"")</f>
        <v/>
      </c>
      <c r="F29" s="126" t="str">
        <f aca="false">IF(D29&lt;&gt;"",D29*E29,"")</f>
        <v/>
      </c>
    </row>
    <row r="30" customFormat="false" ht="15.75" hidden="false" customHeight="false" outlineLevel="0" collapsed="false">
      <c r="A30" s="102"/>
      <c r="B30" s="28" t="str">
        <f aca="false">IF(proforma!B29&lt;&gt;"",(proforma!B29),"")</f>
        <v/>
      </c>
      <c r="C30" s="28" t="str">
        <f aca="false">IF(proforma!C29&lt;&gt;"",(proforma!C29),"")</f>
        <v/>
      </c>
      <c r="D30" s="29" t="str">
        <f aca="false">IF(proforma!D29&lt;&gt;"",(proforma!D29),"")</f>
        <v/>
      </c>
      <c r="E30" s="126" t="str">
        <f aca="false">IF(proforma!E29&lt;&gt;"",(proforma!E29),"")</f>
        <v/>
      </c>
      <c r="F30" s="126" t="str">
        <f aca="false">IF(D30&lt;&gt;"",D30*E30,"")</f>
        <v/>
      </c>
    </row>
    <row r="31" customFormat="false" ht="15.75" hidden="false" customHeight="false" outlineLevel="0" collapsed="false">
      <c r="A31" s="102"/>
      <c r="B31" s="28" t="str">
        <f aca="false">IF(proforma!B30&lt;&gt;"",(proforma!B30),"")</f>
        <v/>
      </c>
      <c r="C31" s="28" t="str">
        <f aca="false">IF(proforma!C30&lt;&gt;"",(proforma!C30),"")</f>
        <v/>
      </c>
      <c r="D31" s="29" t="str">
        <f aca="false">IF(proforma!D30&lt;&gt;"",(proforma!D30),"")</f>
        <v/>
      </c>
      <c r="E31" s="126" t="str">
        <f aca="false">IF(proforma!E30&lt;&gt;"",(proforma!E30),"")</f>
        <v/>
      </c>
      <c r="F31" s="126" t="str">
        <f aca="false">IF(D31&lt;&gt;"",D31*E31,"")</f>
        <v/>
      </c>
    </row>
    <row r="32" customFormat="false" ht="15.75" hidden="false" customHeight="false" outlineLevel="0" collapsed="false">
      <c r="A32" s="102"/>
      <c r="B32" s="28" t="str">
        <f aca="false">IF(proforma!B31&lt;&gt;"",(proforma!B31),"")</f>
        <v/>
      </c>
      <c r="C32" s="28" t="str">
        <f aca="false">IF(proforma!C31&lt;&gt;"",(proforma!C31),"")</f>
        <v/>
      </c>
      <c r="D32" s="29" t="str">
        <f aca="false">IF(proforma!D31&lt;&gt;"",(proforma!D31),"")</f>
        <v/>
      </c>
      <c r="E32" s="126" t="str">
        <f aca="false">IF(proforma!E31&lt;&gt;"",(proforma!E31),"")</f>
        <v/>
      </c>
      <c r="F32" s="126" t="str">
        <f aca="false">IF(D32&lt;&gt;"",D32*E32,"")</f>
        <v/>
      </c>
    </row>
    <row r="33" customFormat="false" ht="15.75" hidden="false" customHeight="false" outlineLevel="0" collapsed="false">
      <c r="A33" s="102"/>
      <c r="B33" s="28" t="str">
        <f aca="false">IF(proforma!B32&lt;&gt;"",(proforma!B32),"")</f>
        <v/>
      </c>
      <c r="C33" s="28" t="str">
        <f aca="false">IF(proforma!C32&lt;&gt;"",(proforma!C32),"")</f>
        <v/>
      </c>
      <c r="D33" s="29" t="str">
        <f aca="false">IF(proforma!D32&lt;&gt;"",(proforma!D32),"")</f>
        <v/>
      </c>
      <c r="E33" s="126" t="str">
        <f aca="false">IF(proforma!E32&lt;&gt;"",(proforma!E32),"")</f>
        <v/>
      </c>
      <c r="F33" s="126" t="str">
        <f aca="false">IF(D33&lt;&gt;"",D33*E33,"")</f>
        <v/>
      </c>
    </row>
    <row r="34" customFormat="false" ht="15.75" hidden="false" customHeight="false" outlineLevel="0" collapsed="false">
      <c r="A34" s="102"/>
      <c r="B34" s="28" t="str">
        <f aca="false">IF(proforma!B33&lt;&gt;"",(proforma!B33),"")</f>
        <v/>
      </c>
      <c r="C34" s="28" t="str">
        <f aca="false">IF(proforma!C33&lt;&gt;"",(proforma!C33),"")</f>
        <v/>
      </c>
      <c r="D34" s="29" t="str">
        <f aca="false">IF(proforma!D33&lt;&gt;"",(proforma!D33),"")</f>
        <v/>
      </c>
      <c r="E34" s="126" t="str">
        <f aca="false">IF(proforma!E33&lt;&gt;"",(proforma!E33),"")</f>
        <v/>
      </c>
      <c r="F34" s="126" t="str">
        <f aca="false">IF(D34&lt;&gt;"",D34*E34,"")</f>
        <v/>
      </c>
    </row>
    <row r="35" customFormat="false" ht="15.75" hidden="false" customHeight="false" outlineLevel="0" collapsed="false">
      <c r="A35" s="102"/>
      <c r="B35" s="28" t="str">
        <f aca="false">IF(proforma!B34&lt;&gt;"",(proforma!B34),"")</f>
        <v/>
      </c>
      <c r="C35" s="28" t="str">
        <f aca="false">IF(proforma!C34&lt;&gt;"",(proforma!C34),"")</f>
        <v/>
      </c>
      <c r="D35" s="29" t="str">
        <f aca="false">IF(proforma!D34&lt;&gt;"",(proforma!D34),"")</f>
        <v/>
      </c>
      <c r="E35" s="126" t="str">
        <f aca="false">IF(proforma!E34&lt;&gt;"",(proforma!E34),"")</f>
        <v/>
      </c>
      <c r="F35" s="126" t="str">
        <f aca="false">IF(D35&lt;&gt;"",D35*E35,"")</f>
        <v/>
      </c>
    </row>
    <row r="36" customFormat="false" ht="15.75" hidden="false" customHeight="false" outlineLevel="0" collapsed="false">
      <c r="A36" s="102"/>
      <c r="B36" s="28" t="str">
        <f aca="false">IF(proforma!B35&lt;&gt;"",(proforma!B35),"")</f>
        <v/>
      </c>
      <c r="C36" s="28" t="str">
        <f aca="false">IF(proforma!C35&lt;&gt;"",(proforma!C35),"")</f>
        <v/>
      </c>
      <c r="D36" s="29" t="str">
        <f aca="false">IF(proforma!D35&lt;&gt;"",(proforma!D35),"")</f>
        <v/>
      </c>
      <c r="E36" s="126" t="str">
        <f aca="false">IF(proforma!E35&lt;&gt;"",(proforma!E35),"")</f>
        <v/>
      </c>
      <c r="F36" s="126" t="str">
        <f aca="false">IF(D36&lt;&gt;"",D36*E36,"")</f>
        <v/>
      </c>
    </row>
    <row r="37" customFormat="false" ht="15.75" hidden="false" customHeight="false" outlineLevel="0" collapsed="false">
      <c r="A37" s="102"/>
      <c r="B37" s="28" t="str">
        <f aca="false">IF(proforma!B36&lt;&gt;"",(proforma!B36),"")</f>
        <v/>
      </c>
      <c r="C37" s="28" t="str">
        <f aca="false">IF(proforma!C36&lt;&gt;"",(proforma!C36),"")</f>
        <v/>
      </c>
      <c r="D37" s="29" t="str">
        <f aca="false">IF(proforma!D36&lt;&gt;"",(proforma!D36),"")</f>
        <v/>
      </c>
      <c r="E37" s="126" t="str">
        <f aca="false">IF(proforma!E36&lt;&gt;"",(proforma!E36),"")</f>
        <v/>
      </c>
      <c r="F37" s="126" t="str">
        <f aca="false">IF(D37&lt;&gt;"",D37*E37,"")</f>
        <v/>
      </c>
    </row>
    <row r="38" customFormat="false" ht="15.75" hidden="false" customHeight="false" outlineLevel="0" collapsed="false">
      <c r="A38" s="102"/>
      <c r="B38" s="28" t="str">
        <f aca="false">IF(proforma!B37&lt;&gt;"",(proforma!B37),"")</f>
        <v/>
      </c>
      <c r="C38" s="28" t="str">
        <f aca="false">IF(proforma!C37&lt;&gt;"",(proforma!C37),"")</f>
        <v/>
      </c>
      <c r="D38" s="29" t="str">
        <f aca="false">IF(proforma!D37&lt;&gt;"",(proforma!D37),"")</f>
        <v/>
      </c>
      <c r="E38" s="126" t="str">
        <f aca="false">IF(proforma!E37&lt;&gt;"",(proforma!E37),"")</f>
        <v/>
      </c>
      <c r="F38" s="126" t="str">
        <f aca="false">IF(D38&lt;&gt;"",D38*E38,"")</f>
        <v/>
      </c>
    </row>
    <row r="39" customFormat="false" ht="15.75" hidden="false" customHeight="false" outlineLevel="0" collapsed="false">
      <c r="A39" s="102"/>
      <c r="B39" s="28" t="str">
        <f aca="false">IF(proforma!B38&lt;&gt;"",(proforma!B38),"")</f>
        <v/>
      </c>
      <c r="C39" s="28" t="str">
        <f aca="false">IF(proforma!C38&lt;&gt;"",(proforma!C38),"")</f>
        <v/>
      </c>
      <c r="D39" s="29" t="str">
        <f aca="false">IF(proforma!D38&lt;&gt;"",(proforma!D38),"")</f>
        <v/>
      </c>
      <c r="E39" s="126" t="str">
        <f aca="false">IF(proforma!E38&lt;&gt;"",(proforma!E38),"")</f>
        <v/>
      </c>
      <c r="F39" s="126" t="str">
        <f aca="false">IF(D39&lt;&gt;"",D39*E39,"")</f>
        <v/>
      </c>
    </row>
    <row r="40" customFormat="false" ht="15.75" hidden="false" customHeight="false" outlineLevel="0" collapsed="false">
      <c r="A40" s="102"/>
      <c r="B40" s="28" t="str">
        <f aca="false">IF(proforma!B39&lt;&gt;"",(proforma!B39),"")</f>
        <v/>
      </c>
      <c r="C40" s="28" t="str">
        <f aca="false">IF(proforma!C39&lt;&gt;"",(proforma!C39),"")</f>
        <v/>
      </c>
      <c r="D40" s="29" t="str">
        <f aca="false">IF(proforma!D39&lt;&gt;"",(proforma!D39),"")</f>
        <v/>
      </c>
      <c r="E40" s="126" t="str">
        <f aca="false">IF(proforma!E39&lt;&gt;"",(proforma!E39),"")</f>
        <v/>
      </c>
      <c r="F40" s="126" t="str">
        <f aca="false">IF(D40&lt;&gt;"",D40*E40,"")</f>
        <v/>
      </c>
    </row>
    <row r="41" customFormat="false" ht="15.75" hidden="false" customHeight="false" outlineLevel="0" collapsed="false">
      <c r="A41" s="102"/>
      <c r="B41" s="28" t="str">
        <f aca="false">IF(proforma!B40&lt;&gt;"",(proforma!B40),"")</f>
        <v/>
      </c>
      <c r="C41" s="28" t="str">
        <f aca="false">IF(proforma!C40&lt;&gt;"",(proforma!C40),"")</f>
        <v/>
      </c>
      <c r="D41" s="29" t="str">
        <f aca="false">IF(proforma!D40&lt;&gt;"",(proforma!D40),"")</f>
        <v/>
      </c>
      <c r="E41" s="126" t="str">
        <f aca="false">IF(proforma!E40&lt;&gt;"",(proforma!E40),"")</f>
        <v/>
      </c>
      <c r="F41" s="126" t="str">
        <f aca="false">IF(D41&lt;&gt;"",D41*E41,"")</f>
        <v/>
      </c>
    </row>
    <row r="42" customFormat="false" ht="15.75" hidden="false" customHeight="false" outlineLevel="0" collapsed="false">
      <c r="A42" s="102"/>
      <c r="B42" s="28" t="str">
        <f aca="false">IF(proforma!B41&lt;&gt;"",(proforma!B41),"")</f>
        <v/>
      </c>
      <c r="C42" s="28" t="str">
        <f aca="false">IF(proforma!C41&lt;&gt;"",(proforma!C41),"")</f>
        <v/>
      </c>
      <c r="D42" s="29" t="str">
        <f aca="false">IF(proforma!D41&lt;&gt;"",(proforma!D41),"")</f>
        <v/>
      </c>
      <c r="E42" s="126" t="str">
        <f aca="false">IF(proforma!E41&lt;&gt;"",(proforma!E41),"")</f>
        <v/>
      </c>
      <c r="F42" s="126" t="str">
        <f aca="false">IF(D42&lt;&gt;"",D42*E42,"")</f>
        <v/>
      </c>
    </row>
    <row r="43" customFormat="false" ht="18.75" hidden="false" customHeight="false" outlineLevel="0" collapsed="false">
      <c r="A43" s="102"/>
      <c r="B43" s="111" t="s">
        <v>26</v>
      </c>
      <c r="C43" s="111"/>
      <c r="D43" s="127"/>
      <c r="E43" s="128"/>
      <c r="F43" s="129" t="n">
        <f aca="false">SUM(F18:F42)</f>
        <v>0</v>
      </c>
    </row>
    <row r="44" customFormat="false" ht="18.75" hidden="false" customHeight="false" outlineLevel="0" collapsed="false">
      <c r="A44" s="102"/>
      <c r="B44" s="130" t="str">
        <f aca="false">proforma!B43</f>
        <v>Descuento %</v>
      </c>
      <c r="C44" s="130"/>
      <c r="D44" s="131" t="n">
        <f aca="false">proforma!D43</f>
        <v>50</v>
      </c>
      <c r="E44" s="132"/>
      <c r="F44" s="133" t="n">
        <f aca="false">proforma!F43</f>
        <v>-0</v>
      </c>
    </row>
    <row r="45" customFormat="false" ht="18.75" hidden="false" customHeight="false" outlineLevel="0" collapsed="false">
      <c r="A45" s="102"/>
      <c r="B45" s="134" t="str">
        <f aca="false">IF(proforma!B44&lt;&gt;"",(proforma!B44),"")</f>
        <v>TOTAL BASE IMPONIBLE PINTURAS</v>
      </c>
      <c r="C45" s="134"/>
      <c r="D45" s="134" t="str">
        <f aca="false">IF(proforma!D44&lt;&gt;"",(proforma!D44),"")</f>
        <v/>
      </c>
      <c r="E45" s="135"/>
      <c r="F45" s="135" t="n">
        <f aca="false">SUM(F43:F44)</f>
        <v>0</v>
      </c>
    </row>
    <row r="46" customFormat="false" ht="18.75" hidden="false" customHeight="false" outlineLevel="0" collapsed="false">
      <c r="A46" s="102"/>
      <c r="B46" s="136" t="str">
        <f aca="false">IF(proforma!B45&lt;&gt;"",(proforma!B45),"")</f>
        <v>Portes Península</v>
      </c>
      <c r="C46" s="136"/>
      <c r="D46" s="136" t="n">
        <f aca="false">IF(proforma!D45&lt;&gt;"",(proforma!D45),"")</f>
        <v>1</v>
      </c>
      <c r="E46" s="137"/>
      <c r="F46" s="137" t="n">
        <f aca="false">proforma!F45</f>
        <v>17</v>
      </c>
    </row>
    <row r="47" customFormat="false" ht="18.75" hidden="false" customHeight="false" outlineLevel="0" collapsed="false">
      <c r="A47" s="102"/>
      <c r="B47" s="136" t="str">
        <f aca="false">IF(proforma!B46&lt;&gt;"",(proforma!B46),"")</f>
        <v>MANO DE OBRA</v>
      </c>
      <c r="C47" s="136"/>
      <c r="D47" s="136" t="str">
        <f aca="false">IF(proforma!D46&lt;&gt;"",(proforma!D46),"")</f>
        <v/>
      </c>
      <c r="E47" s="137" t="str">
        <f aca="false">IF(proforma!E46&lt;&gt;"",(proforma!E46),"")</f>
        <v/>
      </c>
      <c r="F47" s="137" t="str">
        <f aca="false">IF(D47&lt;&gt;"",(D47*E47),"")</f>
        <v/>
      </c>
    </row>
    <row r="48" customFormat="false" ht="18.75" hidden="false" customHeight="false" outlineLevel="0" collapsed="false">
      <c r="A48" s="102"/>
      <c r="B48" s="130" t="str">
        <f aca="false">IF(proforma!B47&lt;&gt;"",(proforma!B47),"")</f>
        <v>Otros Varios</v>
      </c>
      <c r="C48" s="130"/>
      <c r="D48" s="130" t="str">
        <f aca="false">IF(proforma!D47&lt;&gt;"",(proforma!D47),"")</f>
        <v/>
      </c>
      <c r="E48" s="133" t="str">
        <f aca="false">IF(proforma!E47&lt;&gt;"",(proforma!E47),"")</f>
        <v/>
      </c>
      <c r="F48" s="133" t="str">
        <f aca="false">IF(D48&lt;&gt;"",(D48*E48),"")</f>
        <v/>
      </c>
    </row>
    <row r="49" customFormat="false" ht="18.75" hidden="false" customHeight="false" outlineLevel="0" collapsed="false">
      <c r="A49" s="102"/>
      <c r="B49" s="134" t="str">
        <f aca="false">IF(proforma!B48&lt;&gt;"",(proforma!B48),"")</f>
        <v>TOTAL BASE IMPONIBLE</v>
      </c>
      <c r="C49" s="134"/>
      <c r="D49" s="134" t="str">
        <f aca="false">IF(proforma!D48&lt;&gt;"",(proforma!D48),"")</f>
        <v/>
      </c>
      <c r="E49" s="135"/>
      <c r="F49" s="135" t="n">
        <f aca="false">SUM(F45:F48)</f>
        <v>17</v>
      </c>
    </row>
    <row r="50" customFormat="false" ht="18.75" hidden="false" customHeight="false" outlineLevel="0" collapsed="false">
      <c r="A50" s="102"/>
      <c r="B50" s="136" t="str">
        <f aca="false">IF(proforma!B49&lt;&gt;"",(proforma!B49),"")</f>
        <v>21% IVA</v>
      </c>
      <c r="C50" s="136"/>
      <c r="D50" s="136"/>
      <c r="E50" s="137"/>
      <c r="F50" s="137" t="n">
        <f aca="false">IF(proforma!F49&lt;&gt;"",(proforma!F49),"")</f>
        <v>3.57</v>
      </c>
    </row>
    <row r="51" s="48" customFormat="true" ht="21" hidden="false" customHeight="false" outlineLevel="0" collapsed="false">
      <c r="A51" s="138"/>
      <c r="B51" s="139" t="s">
        <v>36</v>
      </c>
      <c r="C51" s="139"/>
      <c r="D51" s="139"/>
      <c r="E51" s="140"/>
      <c r="F51" s="140" t="n">
        <f aca="false">SUM(F49:F50)</f>
        <v>20.57</v>
      </c>
    </row>
    <row r="52" customFormat="false" ht="12" hidden="false" customHeight="true" outlineLevel="0" collapsed="false">
      <c r="A52" s="102"/>
      <c r="B52" s="109"/>
      <c r="C52" s="109"/>
      <c r="D52" s="109"/>
      <c r="E52" s="104"/>
      <c r="F52" s="104"/>
    </row>
    <row r="53" customFormat="false" ht="12" hidden="false" customHeight="true" outlineLevel="0" collapsed="false">
      <c r="A53" s="102"/>
      <c r="B53" s="109"/>
      <c r="C53" s="109"/>
      <c r="D53" s="109"/>
      <c r="E53" s="104"/>
      <c r="F53" s="104"/>
    </row>
    <row r="54" customFormat="false" ht="23.25" hidden="false" customHeight="false" outlineLevel="0" collapsed="false">
      <c r="A54" s="102"/>
      <c r="B54" s="108" t="s">
        <v>37</v>
      </c>
      <c r="C54" s="109"/>
      <c r="D54" s="109"/>
      <c r="E54" s="104"/>
      <c r="F54" s="104"/>
    </row>
    <row r="55" customFormat="false" ht="12" hidden="false" customHeight="true" outlineLevel="0" collapsed="false">
      <c r="A55" s="102"/>
      <c r="B55" s="109"/>
      <c r="C55" s="109"/>
      <c r="D55" s="109"/>
      <c r="E55" s="104"/>
      <c r="F55" s="104"/>
    </row>
    <row r="56" customFormat="false" ht="15.75" hidden="false" customHeight="false" outlineLevel="0" collapsed="false">
      <c r="A56" s="102"/>
      <c r="B56" s="141" t="s">
        <v>38</v>
      </c>
      <c r="C56" s="141" t="str">
        <f aca="false">proforma!C55</f>
        <v>Transferencia</v>
      </c>
      <c r="D56" s="141"/>
      <c r="E56" s="142"/>
      <c r="F56" s="142"/>
    </row>
    <row r="57" customFormat="false" ht="15.75" hidden="false" customHeight="false" outlineLevel="0" collapsed="false">
      <c r="A57" s="102"/>
      <c r="B57" s="141" t="s">
        <v>40</v>
      </c>
      <c r="C57" s="143" t="str">
        <f aca="false">proforma!C56</f>
        <v>Banco Sabadell  IBAN: ES14 0081 0286 8800 0184 3288</v>
      </c>
      <c r="D57" s="143"/>
      <c r="E57" s="144"/>
      <c r="F57" s="142"/>
    </row>
    <row r="58" customFormat="false" ht="15.75" hidden="false" customHeight="false" outlineLevel="0" collapsed="false">
      <c r="A58" s="102"/>
      <c r="B58" s="141" t="s">
        <v>42</v>
      </c>
      <c r="C58" s="141" t="str">
        <f aca="false">proforma!C57</f>
        <v>portes pagados</v>
      </c>
      <c r="D58" s="141"/>
      <c r="E58" s="142"/>
      <c r="F58" s="142"/>
    </row>
    <row r="59" customFormat="false" ht="15.75" hidden="false" customHeight="false" outlineLevel="0" collapsed="false">
      <c r="A59" s="102"/>
      <c r="B59" s="145" t="s">
        <v>44</v>
      </c>
      <c r="C59" s="146" t="str">
        <f aca="false">IF(proforma!C58&lt;&gt;"",(proforma!C58),"")</f>
        <v/>
      </c>
      <c r="D59" s="145"/>
      <c r="E59" s="147"/>
      <c r="F59" s="147"/>
    </row>
    <row r="60" customFormat="false" ht="12" hidden="false" customHeight="true" outlineLevel="0" collapsed="false">
      <c r="A60" s="102"/>
      <c r="B60" s="109"/>
      <c r="C60" s="109"/>
      <c r="D60" s="109"/>
      <c r="E60" s="104"/>
      <c r="F60" s="104"/>
    </row>
    <row r="61" customFormat="false" ht="18.75" hidden="false" customHeight="false" outlineLevel="0" collapsed="false">
      <c r="A61" s="102"/>
      <c r="B61" s="148" t="s">
        <v>45</v>
      </c>
      <c r="C61" s="149"/>
      <c r="D61" s="149"/>
      <c r="E61" s="150"/>
      <c r="F61" s="150"/>
    </row>
    <row r="62" customFormat="false" ht="12" hidden="false" customHeight="true" outlineLevel="0" collapsed="false">
      <c r="A62" s="102"/>
      <c r="B62" s="151" t="s">
        <v>60</v>
      </c>
      <c r="C62" s="149"/>
      <c r="D62" s="149"/>
      <c r="E62" s="152"/>
      <c r="F62" s="153" t="s">
        <v>47</v>
      </c>
    </row>
    <row r="63" customFormat="false" ht="12.75" hidden="false" customHeight="true" outlineLevel="0" collapsed="false">
      <c r="A63" s="102"/>
      <c r="B63" s="149" t="s">
        <v>48</v>
      </c>
      <c r="C63" s="149"/>
      <c r="D63" s="149"/>
      <c r="E63" s="152"/>
      <c r="F63" s="153"/>
    </row>
    <row r="64" customFormat="false" ht="13.5" hidden="false" customHeight="true" outlineLevel="0" collapsed="false">
      <c r="A64" s="102"/>
      <c r="B64" s="149" t="s">
        <v>49</v>
      </c>
      <c r="C64" s="151"/>
      <c r="D64" s="149"/>
      <c r="E64" s="154" t="s">
        <v>50</v>
      </c>
      <c r="F64" s="151"/>
    </row>
    <row r="65" customFormat="false" ht="15.75" hidden="false" customHeight="false" outlineLevel="0" collapsed="false">
      <c r="B65" s="151"/>
      <c r="C65" s="151"/>
      <c r="D65" s="155"/>
      <c r="E65" s="65" t="s">
        <v>51</v>
      </c>
      <c r="F65" s="155"/>
    </row>
  </sheetData>
  <hyperlinks>
    <hyperlink ref="E64" r:id="rId1" display="E-mail: hola@nchemicals.es"/>
    <hyperlink ref="E65" r:id="rId2" display="suelosderesina@gmail.com"/>
  </hyperlink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0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4:F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6" activeCellId="0" sqref="H46"/>
    </sheetView>
  </sheetViews>
  <sheetFormatPr defaultColWidth="11.43359375" defaultRowHeight="15.75" zeroHeight="false" outlineLevelRow="0" outlineLevelCol="0"/>
  <cols>
    <col collapsed="false" customWidth="true" hidden="false" outlineLevel="0" max="1" min="1" style="1" width="3.14"/>
    <col collapsed="false" customWidth="true" hidden="false" outlineLevel="0" max="2" min="2" style="1" width="30.14"/>
    <col collapsed="false" customWidth="true" hidden="false" outlineLevel="0" max="3" min="3" style="1" width="37.14"/>
    <col collapsed="false" customWidth="true" hidden="false" outlineLevel="0" max="4" min="4" style="1" width="10.85"/>
    <col collapsed="false" customWidth="true" hidden="false" outlineLevel="0" max="5" min="5" style="2" width="26.58"/>
    <col collapsed="false" customWidth="true" hidden="false" outlineLevel="0" max="6" min="6" style="1" width="6.86"/>
    <col collapsed="false" customWidth="false" hidden="false" outlineLevel="0" max="1024" min="7" style="1" width="11.42"/>
  </cols>
  <sheetData>
    <row r="4" customFormat="false" ht="31.5" hidden="false" customHeight="false" outlineLevel="0" collapsed="false">
      <c r="A4" s="102"/>
      <c r="B4" s="102"/>
      <c r="C4" s="102"/>
      <c r="D4" s="102"/>
      <c r="E4" s="156" t="s">
        <v>66</v>
      </c>
    </row>
    <row r="5" customFormat="false" ht="21" hidden="false" customHeight="false" outlineLevel="0" collapsed="false">
      <c r="A5" s="102"/>
      <c r="B5" s="102"/>
      <c r="C5" s="102"/>
      <c r="D5" s="102"/>
      <c r="E5" s="105" t="str">
        <f aca="false">factura!E5</f>
        <v>Nº:</v>
      </c>
    </row>
    <row r="6" customFormat="false" ht="28.5" hidden="false" customHeight="false" outlineLevel="0" collapsed="false">
      <c r="A6" s="102"/>
      <c r="B6" s="157" t="s">
        <v>67</v>
      </c>
      <c r="C6" s="109"/>
      <c r="D6" s="109"/>
      <c r="E6" s="105" t="str">
        <f aca="false">factura!E6</f>
        <v>FECHA.26/12/2025</v>
      </c>
    </row>
    <row r="7" customFormat="false" ht="21" hidden="false" customHeight="false" outlineLevel="0" collapsed="false">
      <c r="A7" s="102"/>
      <c r="B7" s="109"/>
      <c r="C7" s="109"/>
      <c r="D7" s="109"/>
      <c r="E7" s="105"/>
    </row>
    <row r="8" customFormat="false" ht="21" hidden="false" customHeight="false" outlineLevel="0" collapsed="false">
      <c r="A8" s="102"/>
      <c r="B8" s="31" t="s">
        <v>68</v>
      </c>
      <c r="C8" s="105" t="s">
        <v>69</v>
      </c>
      <c r="D8" s="31" t="s">
        <v>70</v>
      </c>
      <c r="E8" s="105" t="s">
        <v>71</v>
      </c>
    </row>
    <row r="9" customFormat="false" ht="15.75" hidden="false" customHeight="false" outlineLevel="0" collapsed="false">
      <c r="A9" s="102"/>
      <c r="B9" s="31" t="s">
        <v>72</v>
      </c>
      <c r="C9" s="109"/>
      <c r="D9" s="109"/>
      <c r="E9" s="104"/>
    </row>
    <row r="10" customFormat="false" ht="15.75" hidden="false" customHeight="false" outlineLevel="0" collapsed="false">
      <c r="A10" s="102"/>
      <c r="B10" s="31"/>
      <c r="C10" s="109"/>
      <c r="D10" s="109"/>
      <c r="E10" s="104"/>
    </row>
    <row r="11" customFormat="false" ht="23.25" hidden="false" customHeight="false" outlineLevel="0" collapsed="false">
      <c r="A11" s="102"/>
      <c r="B11" s="108" t="s">
        <v>54</v>
      </c>
      <c r="C11" s="109"/>
      <c r="D11" s="109"/>
      <c r="E11" s="104"/>
    </row>
    <row r="12" customFormat="false" ht="15.75" hidden="false" customHeight="false" outlineLevel="0" collapsed="false">
      <c r="A12" s="102"/>
      <c r="B12" s="31"/>
      <c r="C12" s="109"/>
      <c r="D12" s="109"/>
      <c r="E12" s="104"/>
    </row>
    <row r="13" customFormat="false" ht="18.75" hidden="false" customHeight="false" outlineLevel="0" collapsed="false">
      <c r="A13" s="102"/>
      <c r="B13" s="143" t="s">
        <v>73</v>
      </c>
      <c r="C13" s="158" t="n">
        <f aca="false">pedido!K17</f>
        <v>0</v>
      </c>
      <c r="D13" s="159"/>
      <c r="E13" s="160"/>
    </row>
    <row r="14" customFormat="false" ht="18.75" hidden="false" customHeight="false" outlineLevel="0" collapsed="false">
      <c r="A14" s="102"/>
      <c r="B14" s="143" t="s">
        <v>74</v>
      </c>
      <c r="C14" s="158" t="n">
        <f aca="false">pedido!K15</f>
        <v>0</v>
      </c>
      <c r="D14" s="159"/>
      <c r="E14" s="160"/>
    </row>
    <row r="15" customFormat="false" ht="18.75" hidden="false" customHeight="false" outlineLevel="0" collapsed="false">
      <c r="A15" s="102"/>
      <c r="B15" s="143" t="s">
        <v>75</v>
      </c>
      <c r="C15" s="158" t="n">
        <f aca="false">pedido!K16</f>
        <v>0</v>
      </c>
      <c r="D15" s="159"/>
      <c r="E15" s="160"/>
    </row>
    <row r="16" customFormat="false" ht="18.75" hidden="false" customHeight="false" outlineLevel="0" collapsed="false">
      <c r="A16" s="102"/>
      <c r="B16" s="31" t="s">
        <v>76</v>
      </c>
      <c r="C16" s="161" t="n">
        <f aca="false">pedido!K18</f>
        <v>0</v>
      </c>
      <c r="D16" s="136"/>
      <c r="E16" s="137"/>
    </row>
    <row r="17" customFormat="false" ht="18.75" hidden="false" customHeight="false" outlineLevel="0" collapsed="false">
      <c r="A17" s="102"/>
      <c r="B17" s="143" t="s">
        <v>77</v>
      </c>
      <c r="C17" s="158" t="str">
        <f aca="false">pedido!K19</f>
        <v>PAGADOS</v>
      </c>
      <c r="D17" s="159"/>
      <c r="E17" s="160"/>
    </row>
    <row r="18" customFormat="false" ht="15.75" hidden="false" customHeight="false" outlineLevel="0" collapsed="false">
      <c r="A18" s="102"/>
      <c r="B18" s="31"/>
      <c r="C18" s="109"/>
      <c r="D18" s="109"/>
      <c r="E18" s="104"/>
    </row>
    <row r="19" customFormat="false" ht="23.25" hidden="false" customHeight="false" outlineLevel="0" collapsed="false">
      <c r="A19" s="102"/>
      <c r="B19" s="108" t="s">
        <v>78</v>
      </c>
      <c r="C19" s="105"/>
      <c r="D19" s="109"/>
      <c r="E19" s="104"/>
    </row>
    <row r="20" customFormat="false" ht="19.5" hidden="false" customHeight="true" outlineLevel="0" collapsed="false">
      <c r="A20" s="102"/>
      <c r="B20" s="108"/>
      <c r="C20" s="105"/>
      <c r="D20" s="109"/>
      <c r="E20" s="104"/>
    </row>
    <row r="21" customFormat="false" ht="18.75" hidden="false" customHeight="false" outlineLevel="0" collapsed="false">
      <c r="A21" s="102"/>
      <c r="B21" s="110" t="s">
        <v>4</v>
      </c>
      <c r="C21" s="111" t="str">
        <f aca="false">pedido!K9</f>
        <v>GABRIEL PASCUAL CEREZO</v>
      </c>
      <c r="D21" s="110" t="s">
        <v>6</v>
      </c>
      <c r="E21" s="112" t="str">
        <f aca="false">pedido!M9</f>
        <v>70247465Z</v>
      </c>
    </row>
    <row r="22" customFormat="false" ht="18.75" hidden="false" customHeight="false" outlineLevel="0" collapsed="false">
      <c r="A22" s="102"/>
      <c r="B22" s="110" t="s">
        <v>8</v>
      </c>
      <c r="C22" s="111" t="str">
        <f aca="false">pedido!K10</f>
        <v>PLAZA TIRSO DE MOLINA 9,LOCAL TANTALOS</v>
      </c>
      <c r="D22" s="110" t="s">
        <v>10</v>
      </c>
      <c r="E22" s="114" t="n">
        <f aca="false">pedido!M10</f>
        <v>40006</v>
      </c>
    </row>
    <row r="23" customFormat="false" ht="18.75" hidden="false" customHeight="false" outlineLevel="0" collapsed="false">
      <c r="A23" s="102"/>
      <c r="B23" s="110" t="s">
        <v>11</v>
      </c>
      <c r="C23" s="111" t="str">
        <f aca="false">pedido!K11</f>
        <v>SEGOVIA</v>
      </c>
      <c r="D23" s="110" t="s">
        <v>13</v>
      </c>
      <c r="E23" s="115" t="str">
        <f aca="false">IF(proforma!E11&lt;&gt;"",(proforma!E11),"")</f>
        <v>SEGOVIA</v>
      </c>
    </row>
    <row r="24" customFormat="false" ht="18.75" hidden="false" customHeight="false" outlineLevel="0" collapsed="false">
      <c r="A24" s="102"/>
      <c r="B24" s="110" t="s">
        <v>14</v>
      </c>
      <c r="C24" s="111" t="str">
        <f aca="false">pedido!K12</f>
        <v>ESPAÑA</v>
      </c>
      <c r="D24" s="110" t="s">
        <v>16</v>
      </c>
      <c r="E24" s="112" t="n">
        <f aca="false">pedido!M12</f>
        <v>655594981</v>
      </c>
    </row>
    <row r="25" customFormat="false" ht="18.75" hidden="false" customHeight="false" outlineLevel="0" collapsed="false">
      <c r="A25" s="102"/>
      <c r="B25" s="110" t="s">
        <v>17</v>
      </c>
      <c r="C25" s="110" t="str">
        <f aca="false">pedido!K13</f>
        <v>GABRIEL PASCUAL CEREZO</v>
      </c>
      <c r="D25" s="110" t="s">
        <v>18</v>
      </c>
      <c r="E25" s="112" t="str">
        <f aca="false">pedido!M13</f>
        <v>gabi@tantalos.es</v>
      </c>
    </row>
    <row r="26" s="19" customFormat="true" ht="21" hidden="false" customHeight="false" outlineLevel="0" collapsed="false">
      <c r="A26" s="121"/>
      <c r="B26" s="122"/>
      <c r="C26" s="122"/>
      <c r="D26" s="123"/>
      <c r="E26" s="124"/>
    </row>
    <row r="27" customFormat="false" ht="23.25" hidden="false" customHeight="false" outlineLevel="0" collapsed="false">
      <c r="A27" s="102"/>
      <c r="B27" s="162" t="s">
        <v>79</v>
      </c>
      <c r="C27" s="163"/>
      <c r="D27" s="164"/>
      <c r="E27" s="125"/>
    </row>
    <row r="28" customFormat="false" ht="17.25" hidden="false" customHeight="true" outlineLevel="0" collapsed="false">
      <c r="A28" s="102"/>
      <c r="B28" s="108"/>
      <c r="C28" s="31"/>
      <c r="D28" s="29"/>
      <c r="E28" s="126"/>
    </row>
    <row r="29" customFormat="false" ht="18" hidden="false" customHeight="false" outlineLevel="0" collapsed="false">
      <c r="A29" s="102"/>
      <c r="B29" s="165" t="s">
        <v>80</v>
      </c>
      <c r="C29" s="166"/>
      <c r="D29" s="29"/>
      <c r="E29" s="126"/>
    </row>
    <row r="30" customFormat="false" ht="18" hidden="false" customHeight="false" outlineLevel="0" collapsed="false">
      <c r="A30" s="102"/>
      <c r="B30" s="165" t="s">
        <v>81</v>
      </c>
      <c r="C30" s="166"/>
      <c r="D30" s="29"/>
      <c r="E30" s="126"/>
    </row>
    <row r="31" customFormat="false" ht="18" hidden="false" customHeight="false" outlineLevel="0" collapsed="false">
      <c r="A31" s="102"/>
      <c r="B31" s="165" t="s">
        <v>82</v>
      </c>
      <c r="C31" s="167"/>
      <c r="D31" s="29"/>
      <c r="E31" s="126"/>
    </row>
    <row r="32" customFormat="false" ht="18" hidden="false" customHeight="false" outlineLevel="0" collapsed="false">
      <c r="A32" s="102"/>
      <c r="B32" s="165"/>
      <c r="C32" s="167"/>
      <c r="D32" s="29"/>
      <c r="E32" s="126"/>
    </row>
    <row r="33" customFormat="false" ht="18" hidden="false" customHeight="false" outlineLevel="0" collapsed="false">
      <c r="A33" s="102"/>
      <c r="B33" s="165"/>
      <c r="C33" s="167"/>
      <c r="D33" s="29"/>
      <c r="E33" s="126"/>
    </row>
    <row r="34" customFormat="false" ht="18" hidden="false" customHeight="false" outlineLevel="0" collapsed="false">
      <c r="A34" s="102"/>
      <c r="B34" s="165"/>
      <c r="C34" s="167"/>
      <c r="D34" s="29"/>
      <c r="E34" s="126"/>
    </row>
    <row r="35" customFormat="false" ht="18" hidden="false" customHeight="false" outlineLevel="0" collapsed="false">
      <c r="A35" s="102"/>
      <c r="B35" s="165"/>
      <c r="C35" s="167"/>
      <c r="D35" s="29"/>
      <c r="E35" s="126"/>
    </row>
    <row r="36" customFormat="false" ht="18" hidden="false" customHeight="false" outlineLevel="0" collapsed="false">
      <c r="A36" s="102"/>
      <c r="B36" s="165"/>
      <c r="C36" s="167"/>
      <c r="D36" s="29"/>
      <c r="E36" s="126"/>
    </row>
    <row r="37" customFormat="false" ht="18" hidden="false" customHeight="false" outlineLevel="0" collapsed="false">
      <c r="A37" s="102"/>
      <c r="B37" s="165"/>
      <c r="C37" s="167"/>
      <c r="D37" s="29"/>
      <c r="E37" s="126"/>
    </row>
    <row r="38" customFormat="false" ht="15.75" hidden="false" customHeight="false" outlineLevel="0" collapsed="false">
      <c r="A38" s="102"/>
      <c r="B38" s="168"/>
      <c r="C38" s="168"/>
      <c r="D38" s="169"/>
      <c r="E38" s="170"/>
    </row>
    <row r="39" customFormat="false" ht="15.75" hidden="false" customHeight="false" outlineLevel="0" collapsed="false">
      <c r="A39" s="102"/>
      <c r="B39" s="28" t="s">
        <v>83</v>
      </c>
      <c r="C39" s="28"/>
      <c r="D39" s="29"/>
      <c r="E39" s="126"/>
    </row>
    <row r="40" customFormat="false" ht="15.75" hidden="false" customHeight="false" outlineLevel="0" collapsed="false">
      <c r="A40" s="102"/>
      <c r="B40" s="171" t="s">
        <v>84</v>
      </c>
      <c r="C40" s="28"/>
      <c r="D40" s="29"/>
      <c r="E40" s="126"/>
    </row>
    <row r="41" customFormat="false" ht="15.75" hidden="false" customHeight="false" outlineLevel="0" collapsed="false">
      <c r="A41" s="102"/>
      <c r="B41" s="28" t="s">
        <v>85</v>
      </c>
      <c r="C41" s="28"/>
      <c r="D41" s="29"/>
      <c r="E41" s="126"/>
    </row>
    <row r="42" customFormat="false" ht="15.75" hidden="false" customHeight="false" outlineLevel="0" collapsed="false">
      <c r="A42" s="102"/>
      <c r="B42" s="28"/>
      <c r="C42" s="28"/>
      <c r="D42" s="29"/>
      <c r="E42" s="126"/>
    </row>
    <row r="43" customFormat="false" ht="15.75" hidden="false" customHeight="false" outlineLevel="0" collapsed="false">
      <c r="A43" s="102"/>
      <c r="B43" s="28" t="s">
        <v>86</v>
      </c>
      <c r="C43" s="172" t="s">
        <v>87</v>
      </c>
      <c r="D43" s="173"/>
      <c r="E43" s="52"/>
      <c r="F43" s="52"/>
    </row>
    <row r="44" s="1" customFormat="true" ht="12.75" hidden="false" customHeight="true" outlineLevel="0" collapsed="false">
      <c r="A44" s="102"/>
      <c r="B44" s="28"/>
      <c r="C44" s="174" t="s">
        <v>88</v>
      </c>
      <c r="D44" s="126"/>
    </row>
    <row r="45" customFormat="false" ht="15.75" hidden="false" customHeight="false" outlineLevel="0" collapsed="false">
      <c r="A45" s="102"/>
      <c r="B45" s="28"/>
      <c r="C45" s="28"/>
      <c r="D45" s="29"/>
      <c r="E45" s="126"/>
    </row>
    <row r="46" customFormat="false" ht="15.75" hidden="false" customHeight="false" outlineLevel="0" collapsed="false">
      <c r="A46" s="102"/>
      <c r="B46" s="28"/>
      <c r="C46" s="28"/>
      <c r="D46" s="29"/>
      <c r="E46" s="126"/>
    </row>
    <row r="47" customFormat="false" ht="15.75" hidden="false" customHeight="false" outlineLevel="0" collapsed="false">
      <c r="A47" s="102"/>
      <c r="B47" s="28"/>
      <c r="C47" s="31"/>
      <c r="D47" s="29"/>
      <c r="E47" s="126"/>
    </row>
    <row r="48" customFormat="false" ht="18.75" hidden="false" customHeight="false" outlineLevel="0" collapsed="false">
      <c r="A48" s="102"/>
      <c r="B48" s="148" t="s">
        <v>45</v>
      </c>
      <c r="C48" s="149"/>
      <c r="D48" s="149"/>
      <c r="E48" s="150"/>
      <c r="F48" s="53"/>
    </row>
    <row r="49" customFormat="false" ht="12" hidden="false" customHeight="true" outlineLevel="0" collapsed="false">
      <c r="A49" s="102"/>
      <c r="B49" s="151" t="s">
        <v>60</v>
      </c>
      <c r="C49" s="149"/>
      <c r="D49" s="149"/>
      <c r="E49" s="64" t="s">
        <v>47</v>
      </c>
      <c r="F49" s="63"/>
    </row>
    <row r="50" customFormat="false" ht="12.75" hidden="false" customHeight="true" outlineLevel="0" collapsed="false">
      <c r="A50" s="102"/>
      <c r="B50" s="149" t="s">
        <v>48</v>
      </c>
      <c r="C50" s="149"/>
      <c r="D50" s="149"/>
      <c r="E50" s="152"/>
      <c r="F50" s="63"/>
    </row>
    <row r="51" customFormat="false" ht="13.5" hidden="false" customHeight="true" outlineLevel="0" collapsed="false">
      <c r="A51" s="102"/>
      <c r="B51" s="149" t="s">
        <v>49</v>
      </c>
      <c r="C51" s="151"/>
      <c r="D51" s="149"/>
      <c r="E51" s="154" t="s">
        <v>50</v>
      </c>
      <c r="F51" s="52"/>
    </row>
    <row r="52" customFormat="false" ht="15.75" hidden="false" customHeight="false" outlineLevel="0" collapsed="false">
      <c r="B52" s="151"/>
      <c r="C52" s="151"/>
      <c r="D52" s="151"/>
      <c r="E52" s="65" t="s">
        <v>51</v>
      </c>
      <c r="F52" s="52"/>
    </row>
  </sheetData>
  <hyperlinks>
    <hyperlink ref="E51" r:id="rId1" display="E-mail: hola@nchemicals.es"/>
    <hyperlink ref="E52" r:id="rId2" display="suelosderesina@gmail.com"/>
  </hyperlink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8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true"/>
  </sheetPr>
  <dimension ref="A7:H65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26" activeCellId="0" sqref="A26"/>
    </sheetView>
  </sheetViews>
  <sheetFormatPr defaultColWidth="8.6875" defaultRowHeight="15" zeroHeight="false" outlineLevelRow="0" outlineLevelCol="0"/>
  <cols>
    <col collapsed="false" customWidth="true" hidden="false" outlineLevel="0" max="5" min="1" style="0" width="11.42"/>
    <col collapsed="false" customWidth="true" hidden="false" outlineLevel="0" max="6" min="6" style="0" width="31.43"/>
    <col collapsed="false" customWidth="true" hidden="false" outlineLevel="0" max="7" min="7" style="0" width="30.43"/>
    <col collapsed="false" customWidth="true" hidden="false" outlineLevel="0" max="256" min="8" style="0" width="11.42"/>
  </cols>
  <sheetData>
    <row r="7" customFormat="false" ht="15" hidden="false" customHeight="false" outlineLevel="0" collapsed="false">
      <c r="A7" s="175"/>
      <c r="B7" s="175"/>
      <c r="C7" s="175"/>
      <c r="D7" s="175"/>
      <c r="E7" s="175"/>
      <c r="F7" s="175"/>
      <c r="G7" s="175"/>
    </row>
    <row r="8" customFormat="false" ht="36" hidden="false" customHeight="false" outlineLevel="0" collapsed="false">
      <c r="A8" s="176"/>
      <c r="B8" s="177"/>
      <c r="C8" s="178"/>
      <c r="D8" s="178"/>
      <c r="E8" s="178" t="s">
        <v>89</v>
      </c>
      <c r="F8" s="177"/>
      <c r="G8" s="179"/>
    </row>
    <row r="9" customFormat="false" ht="21" hidden="false" customHeight="false" outlineLevel="0" collapsed="false">
      <c r="A9" s="180" t="s">
        <v>90</v>
      </c>
      <c r="B9" s="181"/>
      <c r="C9" s="181"/>
      <c r="D9" s="181"/>
      <c r="E9" s="181"/>
      <c r="F9" s="182"/>
      <c r="G9" s="183" t="str">
        <f aca="false">factura!E5</f>
        <v>Nº:</v>
      </c>
    </row>
    <row r="10" customFormat="false" ht="21" hidden="false" customHeight="false" outlineLevel="0" collapsed="false">
      <c r="A10" s="184"/>
      <c r="B10" s="185"/>
      <c r="C10" s="185"/>
      <c r="D10" s="185"/>
      <c r="E10" s="185"/>
      <c r="F10" s="186"/>
      <c r="G10" s="183" t="str">
        <f aca="false">factura!E6</f>
        <v>FECHA.26/12/2025</v>
      </c>
    </row>
    <row r="11" customFormat="false" ht="18.75" hidden="false" customHeight="false" outlineLevel="0" collapsed="false">
      <c r="A11" s="187" t="s">
        <v>91</v>
      </c>
      <c r="B11" s="181"/>
      <c r="C11" s="181"/>
      <c r="D11" s="188"/>
      <c r="E11" s="110"/>
      <c r="F11" s="110" t="str">
        <f aca="false">'Hoja Entrega Transporte'!C23</f>
        <v>SEGOVIA</v>
      </c>
      <c r="G11" s="189" t="str">
        <f aca="false">'Hoja Entrega Transporte'!E23</f>
        <v>SEGOVIA</v>
      </c>
    </row>
    <row r="12" customFormat="false" ht="18.75" hidden="false" customHeight="false" outlineLevel="0" collapsed="false">
      <c r="A12" s="190" t="s">
        <v>92</v>
      </c>
      <c r="B12" s="191"/>
      <c r="C12" s="191"/>
      <c r="D12" s="192"/>
      <c r="E12" s="193"/>
      <c r="F12" s="193"/>
      <c r="G12" s="194"/>
    </row>
    <row r="13" customFormat="false" ht="18.75" hidden="false" customHeight="false" outlineLevel="0" collapsed="false">
      <c r="A13" s="190" t="s">
        <v>93</v>
      </c>
      <c r="B13" s="191"/>
      <c r="C13" s="191"/>
      <c r="D13" s="192"/>
      <c r="E13" s="193"/>
      <c r="F13" s="193"/>
      <c r="G13" s="194"/>
    </row>
    <row r="14" customFormat="false" ht="15" hidden="false" customHeight="false" outlineLevel="0" collapsed="false">
      <c r="A14" s="149"/>
      <c r="B14" s="149"/>
      <c r="C14" s="149"/>
      <c r="D14" s="149"/>
      <c r="E14" s="149"/>
      <c r="F14" s="149"/>
      <c r="G14" s="149"/>
    </row>
    <row r="15" customFormat="false" ht="18.75" hidden="false" customHeight="false" outlineLevel="0" collapsed="false">
      <c r="A15" s="195" t="s">
        <v>94</v>
      </c>
      <c r="B15" s="149"/>
      <c r="C15" s="149"/>
      <c r="D15" s="149"/>
      <c r="E15" s="149"/>
      <c r="F15" s="149"/>
      <c r="G15" s="149"/>
    </row>
    <row r="16" customFormat="false" ht="18.75" hidden="false" customHeight="false" outlineLevel="0" collapsed="false">
      <c r="A16" s="195" t="s">
        <v>95</v>
      </c>
      <c r="B16" s="149"/>
      <c r="C16" s="149"/>
      <c r="D16" s="149"/>
      <c r="E16" s="149"/>
      <c r="F16" s="149"/>
      <c r="G16" s="149"/>
    </row>
    <row r="17" customFormat="false" ht="18.75" hidden="false" customHeight="false" outlineLevel="0" collapsed="false">
      <c r="A17" s="195"/>
      <c r="B17" s="149"/>
      <c r="C17" s="149"/>
      <c r="D17" s="149"/>
      <c r="E17" s="149"/>
      <c r="F17" s="149"/>
      <c r="G17" s="149"/>
    </row>
    <row r="18" customFormat="false" ht="15" hidden="false" customHeight="false" outlineLevel="0" collapsed="false">
      <c r="A18" s="149"/>
      <c r="B18" s="149"/>
      <c r="C18" s="149"/>
      <c r="D18" s="149"/>
      <c r="E18" s="149"/>
      <c r="F18" s="149"/>
      <c r="G18" s="149"/>
    </row>
    <row r="19" customFormat="false" ht="21" hidden="false" customHeight="false" outlineLevel="0" collapsed="false">
      <c r="A19" s="196" t="s">
        <v>96</v>
      </c>
      <c r="B19" s="197"/>
      <c r="C19" s="197"/>
      <c r="D19" s="197"/>
      <c r="E19" s="197"/>
      <c r="F19" s="197"/>
      <c r="G19" s="197"/>
    </row>
    <row r="20" customFormat="false" ht="15" hidden="false" customHeight="false" outlineLevel="0" collapsed="false">
      <c r="A20" s="149"/>
      <c r="B20" s="149"/>
      <c r="C20" s="149"/>
      <c r="D20" s="149"/>
      <c r="E20" s="149"/>
      <c r="F20" s="149"/>
      <c r="G20" s="149"/>
    </row>
    <row r="21" customFormat="false" ht="21" hidden="false" customHeight="false" outlineLevel="0" collapsed="false">
      <c r="A21" s="198" t="s">
        <v>97</v>
      </c>
      <c r="B21" s="198"/>
      <c r="C21" s="198"/>
      <c r="D21" s="198"/>
      <c r="E21" s="198"/>
      <c r="F21" s="198"/>
      <c r="G21" s="149"/>
      <c r="H21" s="199"/>
    </row>
    <row r="22" customFormat="false" ht="21" hidden="false" customHeight="false" outlineLevel="0" collapsed="false">
      <c r="A22" s="198" t="s">
        <v>98</v>
      </c>
      <c r="B22" s="198"/>
      <c r="C22" s="198"/>
      <c r="D22" s="198"/>
      <c r="E22" s="198"/>
      <c r="F22" s="198"/>
      <c r="G22" s="149"/>
      <c r="H22" s="199"/>
    </row>
    <row r="23" customFormat="false" ht="21" hidden="false" customHeight="false" outlineLevel="0" collapsed="false">
      <c r="A23" s="198"/>
      <c r="B23" s="198"/>
      <c r="C23" s="198"/>
      <c r="D23" s="198"/>
      <c r="E23" s="198"/>
      <c r="F23" s="198"/>
      <c r="G23" s="149"/>
      <c r="H23" s="199"/>
    </row>
    <row r="24" customFormat="false" ht="21" hidden="false" customHeight="false" outlineLevel="0" collapsed="false">
      <c r="A24" s="198" t="s">
        <v>99</v>
      </c>
      <c r="B24" s="198"/>
      <c r="C24" s="198"/>
      <c r="D24" s="198"/>
      <c r="E24" s="198"/>
      <c r="F24" s="198"/>
      <c r="G24" s="149"/>
      <c r="H24" s="199"/>
    </row>
    <row r="25" customFormat="false" ht="21" hidden="false" customHeight="false" outlineLevel="0" collapsed="false">
      <c r="A25" s="198"/>
      <c r="B25" s="198"/>
      <c r="C25" s="198"/>
      <c r="D25" s="198"/>
      <c r="E25" s="198"/>
      <c r="F25" s="198"/>
      <c r="G25" s="149"/>
      <c r="H25" s="199"/>
    </row>
    <row r="26" customFormat="false" ht="21" hidden="false" customHeight="false" outlineLevel="0" collapsed="false">
      <c r="A26" s="198" t="s">
        <v>100</v>
      </c>
      <c r="B26" s="198"/>
      <c r="C26" s="198"/>
      <c r="D26" s="198"/>
      <c r="E26" s="198"/>
      <c r="F26" s="198"/>
      <c r="G26" s="149"/>
    </row>
    <row r="27" customFormat="false" ht="21" hidden="false" customHeight="false" outlineLevel="0" collapsed="false">
      <c r="A27" s="198"/>
      <c r="B27" s="198" t="s">
        <v>101</v>
      </c>
      <c r="C27" s="198"/>
      <c r="D27" s="198"/>
      <c r="E27" s="198"/>
      <c r="F27" s="198"/>
      <c r="G27" s="149"/>
    </row>
    <row r="28" customFormat="false" ht="21" hidden="false" customHeight="false" outlineLevel="0" collapsed="false">
      <c r="A28" s="198"/>
      <c r="B28" s="198" t="s">
        <v>102</v>
      </c>
      <c r="C28" s="198"/>
      <c r="D28" s="198"/>
      <c r="E28" s="198"/>
      <c r="F28" s="198"/>
      <c r="G28" s="149"/>
    </row>
    <row r="29" customFormat="false" ht="21" hidden="false" customHeight="false" outlineLevel="0" collapsed="false">
      <c r="A29" s="198"/>
      <c r="B29" s="198" t="s">
        <v>103</v>
      </c>
      <c r="C29" s="198"/>
      <c r="D29" s="198"/>
      <c r="E29" s="198"/>
      <c r="F29" s="198"/>
      <c r="G29" s="149"/>
    </row>
    <row r="30" customFormat="false" ht="21" hidden="false" customHeight="false" outlineLevel="0" collapsed="false">
      <c r="A30" s="198" t="s">
        <v>104</v>
      </c>
      <c r="B30" s="198"/>
      <c r="C30" s="198"/>
      <c r="D30" s="198"/>
      <c r="E30" s="198"/>
      <c r="F30" s="198"/>
      <c r="G30" s="149"/>
      <c r="H30" s="199"/>
    </row>
    <row r="31" customFormat="false" ht="21" hidden="false" customHeight="false" outlineLevel="0" collapsed="false">
      <c r="A31" s="198" t="s">
        <v>105</v>
      </c>
      <c r="B31" s="198"/>
      <c r="C31" s="198"/>
      <c r="D31" s="198"/>
      <c r="E31" s="198"/>
      <c r="F31" s="198"/>
      <c r="G31" s="149"/>
    </row>
    <row r="32" customFormat="false" ht="21" hidden="false" customHeight="false" outlineLevel="0" collapsed="false">
      <c r="A32" s="198"/>
      <c r="B32" s="198"/>
      <c r="C32" s="198"/>
      <c r="D32" s="198"/>
      <c r="E32" s="198"/>
      <c r="F32" s="198"/>
      <c r="G32" s="149"/>
    </row>
    <row r="33" customFormat="false" ht="21" hidden="false" customHeight="false" outlineLevel="0" collapsed="false">
      <c r="A33" s="198"/>
      <c r="B33" s="198"/>
      <c r="C33" s="198"/>
      <c r="D33" s="198"/>
      <c r="E33" s="198"/>
      <c r="F33" s="198"/>
      <c r="G33" s="149"/>
    </row>
    <row r="34" customFormat="false" ht="18.75" hidden="false" customHeight="false" outlineLevel="0" collapsed="false">
      <c r="A34" s="195"/>
      <c r="B34" s="149"/>
      <c r="C34" s="149"/>
      <c r="D34" s="149"/>
      <c r="E34" s="149"/>
      <c r="F34" s="149"/>
      <c r="G34" s="149"/>
    </row>
    <row r="35" customFormat="false" ht="21" hidden="false" customHeight="false" outlineLevel="0" collapsed="false">
      <c r="A35" s="198" t="s">
        <v>106</v>
      </c>
      <c r="B35" s="198"/>
      <c r="C35" s="198"/>
      <c r="D35" s="198"/>
      <c r="E35" s="198"/>
      <c r="F35" s="198" t="s">
        <v>107</v>
      </c>
      <c r="G35" s="198"/>
    </row>
    <row r="36" customFormat="false" ht="21" hidden="false" customHeight="false" outlineLevel="0" collapsed="false">
      <c r="A36" s="198"/>
      <c r="B36" s="198"/>
      <c r="C36" s="198"/>
      <c r="D36" s="198"/>
      <c r="E36" s="198"/>
      <c r="F36" s="198"/>
      <c r="G36" s="198"/>
    </row>
    <row r="37" customFormat="false" ht="21" hidden="false" customHeight="false" outlineLevel="0" collapsed="false">
      <c r="A37" s="198"/>
      <c r="B37" s="198"/>
      <c r="C37" s="198"/>
      <c r="D37" s="198"/>
      <c r="E37" s="198"/>
      <c r="F37" s="198"/>
      <c r="G37" s="198"/>
    </row>
    <row r="38" customFormat="false" ht="21" hidden="false" customHeight="false" outlineLevel="0" collapsed="false">
      <c r="A38" s="198" t="s">
        <v>108</v>
      </c>
      <c r="B38" s="198"/>
      <c r="C38" s="198"/>
      <c r="D38" s="198"/>
      <c r="E38" s="198"/>
      <c r="F38" s="198"/>
      <c r="G38" s="198"/>
    </row>
    <row r="39" customFormat="false" ht="21" hidden="false" customHeight="false" outlineLevel="0" collapsed="false">
      <c r="A39" s="198" t="s">
        <v>109</v>
      </c>
      <c r="B39" s="198"/>
      <c r="C39" s="198"/>
      <c r="D39" s="198"/>
      <c r="E39" s="198"/>
      <c r="F39" s="198"/>
      <c r="G39" s="198"/>
    </row>
    <row r="40" customFormat="false" ht="21" hidden="false" customHeight="false" outlineLevel="0" collapsed="false">
      <c r="A40" s="198"/>
      <c r="B40" s="198"/>
      <c r="C40" s="198"/>
      <c r="D40" s="198"/>
      <c r="E40" s="198"/>
      <c r="F40" s="198"/>
      <c r="G40" s="198"/>
    </row>
    <row r="41" customFormat="false" ht="21" hidden="false" customHeight="false" outlineLevel="0" collapsed="false">
      <c r="A41" s="198"/>
      <c r="B41" s="198"/>
      <c r="C41" s="198"/>
      <c r="D41" s="198"/>
      <c r="E41" s="198"/>
      <c r="F41" s="198"/>
      <c r="G41" s="198"/>
    </row>
    <row r="42" customFormat="false" ht="15" hidden="false" customHeight="false" outlineLevel="0" collapsed="false">
      <c r="A42" s="149"/>
      <c r="B42" s="149"/>
      <c r="C42" s="149"/>
      <c r="D42" s="149"/>
      <c r="E42" s="149"/>
      <c r="F42" s="149"/>
      <c r="G42" s="149"/>
    </row>
    <row r="43" customFormat="false" ht="31.5" hidden="false" customHeight="false" outlineLevel="0" collapsed="false">
      <c r="A43" s="200" t="s">
        <v>110</v>
      </c>
      <c r="B43" s="201"/>
      <c r="C43" s="201"/>
      <c r="D43" s="201"/>
      <c r="E43" s="201"/>
      <c r="F43" s="201"/>
      <c r="G43" s="202"/>
    </row>
    <row r="44" customFormat="false" ht="18.75" hidden="false" customHeight="false" outlineLevel="0" collapsed="false">
      <c r="A44" s="203" t="s">
        <v>111</v>
      </c>
      <c r="B44" s="204"/>
      <c r="C44" s="203" t="s">
        <v>112</v>
      </c>
      <c r="D44" s="204"/>
      <c r="E44" s="205" t="s">
        <v>113</v>
      </c>
      <c r="F44" s="206"/>
      <c r="G44" s="204"/>
    </row>
    <row r="45" customFormat="false" ht="15.75" hidden="false" customHeight="false" outlineLevel="0" collapsed="false">
      <c r="A45" s="207" t="s">
        <v>114</v>
      </c>
      <c r="B45" s="208"/>
      <c r="C45" s="207" t="s">
        <v>115</v>
      </c>
      <c r="D45" s="208"/>
      <c r="E45" s="209" t="s">
        <v>80</v>
      </c>
      <c r="F45" s="210"/>
      <c r="G45" s="211"/>
    </row>
    <row r="46" customFormat="false" ht="15.75" hidden="false" customHeight="false" outlineLevel="0" collapsed="false">
      <c r="A46" s="207"/>
      <c r="B46" s="208"/>
      <c r="C46" s="207"/>
      <c r="D46" s="208"/>
      <c r="E46" s="209" t="s">
        <v>116</v>
      </c>
      <c r="F46" s="210"/>
      <c r="G46" s="211"/>
    </row>
    <row r="47" customFormat="false" ht="15.75" hidden="false" customHeight="false" outlineLevel="0" collapsed="false">
      <c r="A47" s="212"/>
      <c r="B47" s="213"/>
      <c r="C47" s="212"/>
      <c r="D47" s="213"/>
      <c r="E47" s="214" t="s">
        <v>117</v>
      </c>
      <c r="F47" s="215"/>
      <c r="G47" s="216"/>
    </row>
    <row r="48" customFormat="false" ht="15" hidden="false" customHeight="false" outlineLevel="0" collapsed="false">
      <c r="A48" s="149"/>
      <c r="B48" s="149"/>
      <c r="C48" s="149"/>
      <c r="D48" s="149"/>
      <c r="E48" s="149"/>
      <c r="F48" s="149"/>
      <c r="G48" s="149"/>
    </row>
    <row r="49" customFormat="false" ht="15" hidden="false" customHeight="false" outlineLevel="0" collapsed="false">
      <c r="A49" s="149"/>
      <c r="B49" s="149"/>
      <c r="C49" s="149"/>
      <c r="D49" s="149"/>
      <c r="E49" s="149"/>
      <c r="F49" s="149"/>
      <c r="G49" s="149"/>
    </row>
    <row r="50" customFormat="false" ht="15" hidden="false" customHeight="false" outlineLevel="0" collapsed="false">
      <c r="A50" s="149"/>
      <c r="B50" s="149"/>
      <c r="C50" s="149"/>
      <c r="D50" s="149"/>
      <c r="E50" s="149"/>
      <c r="F50" s="149"/>
      <c r="G50" s="149"/>
    </row>
    <row r="51" customFormat="false" ht="15" hidden="false" customHeight="false" outlineLevel="0" collapsed="false">
      <c r="A51" s="149"/>
      <c r="B51" s="149"/>
      <c r="C51" s="149"/>
      <c r="D51" s="149"/>
      <c r="E51" s="149"/>
      <c r="F51" s="149"/>
      <c r="G51" s="149"/>
    </row>
    <row r="52" customFormat="false" ht="15" hidden="false" customHeight="false" outlineLevel="0" collapsed="false">
      <c r="A52" s="149"/>
      <c r="B52" s="149"/>
      <c r="C52" s="149"/>
      <c r="D52" s="149"/>
      <c r="E52" s="149"/>
      <c r="F52" s="149"/>
      <c r="G52" s="149"/>
    </row>
    <row r="53" customFormat="false" ht="15" hidden="false" customHeight="false" outlineLevel="0" collapsed="false">
      <c r="A53" s="149"/>
      <c r="B53" s="149"/>
      <c r="C53" s="149"/>
      <c r="D53" s="149"/>
      <c r="E53" s="149"/>
      <c r="F53" s="149"/>
      <c r="G53" s="149"/>
    </row>
    <row r="54" customFormat="false" ht="15" hidden="false" customHeight="false" outlineLevel="0" collapsed="false">
      <c r="A54" s="149"/>
      <c r="B54" s="149"/>
      <c r="C54" s="149"/>
      <c r="D54" s="149"/>
      <c r="E54" s="149"/>
      <c r="F54" s="149"/>
      <c r="G54" s="149"/>
    </row>
    <row r="55" customFormat="false" ht="15" hidden="false" customHeight="false" outlineLevel="0" collapsed="false">
      <c r="A55" s="149"/>
      <c r="B55" s="149"/>
      <c r="C55" s="149"/>
      <c r="D55" s="149"/>
      <c r="E55" s="149"/>
      <c r="F55" s="149"/>
      <c r="G55" s="149"/>
    </row>
    <row r="56" customFormat="false" ht="15" hidden="false" customHeight="false" outlineLevel="0" collapsed="false">
      <c r="A56" s="149"/>
      <c r="B56" s="149"/>
      <c r="C56" s="149"/>
      <c r="D56" s="149"/>
      <c r="E56" s="149"/>
      <c r="F56" s="149"/>
      <c r="G56" s="149"/>
    </row>
    <row r="57" customFormat="false" ht="15" hidden="false" customHeight="false" outlineLevel="0" collapsed="false">
      <c r="A57" s="149"/>
      <c r="B57" s="149"/>
      <c r="C57" s="149"/>
      <c r="D57" s="149"/>
      <c r="E57" s="149"/>
      <c r="F57" s="149"/>
      <c r="G57" s="149"/>
    </row>
    <row r="58" customFormat="false" ht="15" hidden="false" customHeight="false" outlineLevel="0" collapsed="false">
      <c r="A58" s="149"/>
      <c r="B58" s="149"/>
      <c r="C58" s="149"/>
      <c r="D58" s="149"/>
      <c r="E58" s="149"/>
      <c r="F58" s="149"/>
      <c r="G58" s="149"/>
    </row>
    <row r="59" customFormat="false" ht="54" hidden="false" customHeight="true" outlineLevel="0" collapsed="false">
      <c r="A59" s="149"/>
      <c r="B59" s="149"/>
      <c r="C59" s="149"/>
      <c r="D59" s="149"/>
      <c r="E59" s="149"/>
      <c r="F59" s="149"/>
      <c r="G59" s="149"/>
    </row>
    <row r="60" customFormat="false" ht="25.5" hidden="false" customHeight="true" outlineLevel="0" collapsed="false">
      <c r="A60" s="149"/>
      <c r="B60" s="149"/>
      <c r="C60" s="149"/>
      <c r="D60" s="149"/>
      <c r="E60" s="149"/>
      <c r="F60" s="149"/>
      <c r="G60" s="149"/>
    </row>
    <row r="61" customFormat="false" ht="15" hidden="false" customHeight="false" outlineLevel="0" collapsed="false">
      <c r="A61" s="149"/>
      <c r="B61" s="149"/>
      <c r="C61" s="149"/>
      <c r="D61" s="149"/>
      <c r="E61" s="149"/>
      <c r="F61" s="149"/>
      <c r="G61" s="149"/>
    </row>
    <row r="62" customFormat="false" ht="25.5" hidden="false" customHeight="true" outlineLevel="0" collapsed="false"/>
    <row r="63" customFormat="false" ht="22.5" hidden="false" customHeight="true" outlineLevel="0" collapsed="false"/>
    <row r="64" customFormat="false" ht="45" hidden="false" customHeight="true" outlineLevel="0" collapsed="false"/>
    <row r="65" customFormat="false" ht="33.75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8.6875" defaultRowHeight="15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2.43"/>
    <col collapsed="false" customWidth="true" hidden="false" outlineLevel="0" max="3" min="3" style="0" width="44.99"/>
    <col collapsed="false" customWidth="true" hidden="false" outlineLevel="0" max="4" min="4" style="0" width="24.42"/>
    <col collapsed="false" customWidth="true" hidden="false" outlineLevel="0" max="5" min="5" style="0" width="21.14"/>
    <col collapsed="false" customWidth="true" hidden="false" outlineLevel="0" max="256" min="6" style="0" width="11.42"/>
  </cols>
  <sheetData>
    <row r="1" customFormat="false" ht="15" hidden="false" customHeight="false" outlineLevel="0" collapsed="false">
      <c r="A1" s="175"/>
      <c r="B1" s="175"/>
      <c r="C1" s="175"/>
      <c r="D1" s="175"/>
      <c r="E1" s="175"/>
    </row>
    <row r="2" customFormat="false" ht="33.75" hidden="false" customHeight="false" outlineLevel="0" collapsed="false">
      <c r="A2" s="175"/>
      <c r="B2" s="217" t="s">
        <v>3</v>
      </c>
      <c r="C2" s="105"/>
      <c r="D2" s="109"/>
      <c r="E2" s="104"/>
    </row>
    <row r="3" customFormat="false" ht="23.25" hidden="false" customHeight="false" outlineLevel="0" collapsed="false">
      <c r="A3" s="175"/>
      <c r="B3" s="218" t="s">
        <v>4</v>
      </c>
      <c r="C3" s="219" t="str">
        <f aca="false">pedido!K9</f>
        <v>GABRIEL PASCUAL CEREZO</v>
      </c>
      <c r="D3" s="218" t="s">
        <v>6</v>
      </c>
      <c r="E3" s="220" t="str">
        <f aca="false">pedido!M9</f>
        <v>70247465Z</v>
      </c>
    </row>
    <row r="4" customFormat="false" ht="23.25" hidden="false" customHeight="false" outlineLevel="0" collapsed="false">
      <c r="A4" s="175"/>
      <c r="B4" s="218" t="s">
        <v>8</v>
      </c>
      <c r="C4" s="219" t="str">
        <f aca="false">pedido!K10</f>
        <v>PLAZA TIRSO DE MOLINA 9,LOCAL TANTALOS</v>
      </c>
      <c r="D4" s="218" t="s">
        <v>10</v>
      </c>
      <c r="E4" s="221" t="n">
        <f aca="false">pedido!M10</f>
        <v>40006</v>
      </c>
    </row>
    <row r="5" customFormat="false" ht="23.25" hidden="false" customHeight="false" outlineLevel="0" collapsed="false">
      <c r="A5" s="175"/>
      <c r="B5" s="218" t="s">
        <v>11</v>
      </c>
      <c r="C5" s="219" t="str">
        <f aca="false">pedido!K11</f>
        <v>SEGOVIA</v>
      </c>
      <c r="D5" s="218" t="s">
        <v>13</v>
      </c>
      <c r="E5" s="222" t="str">
        <f aca="false">pedido!M11</f>
        <v>SEGOVIA</v>
      </c>
    </row>
    <row r="6" customFormat="false" ht="23.25" hidden="false" customHeight="false" outlineLevel="0" collapsed="false">
      <c r="A6" s="175"/>
      <c r="B6" s="218" t="s">
        <v>14</v>
      </c>
      <c r="C6" s="219" t="str">
        <f aca="false">pedido!K12</f>
        <v>ESPAÑA</v>
      </c>
      <c r="D6" s="218" t="s">
        <v>16</v>
      </c>
      <c r="E6" s="220" t="n">
        <f aca="false">pedido!M12</f>
        <v>655594981</v>
      </c>
    </row>
    <row r="7" customFormat="false" ht="23.25" hidden="false" customHeight="false" outlineLevel="0" collapsed="false">
      <c r="A7" s="175"/>
      <c r="B7" s="218" t="s">
        <v>17</v>
      </c>
      <c r="C7" s="223" t="str">
        <f aca="false">pedido!K13</f>
        <v>GABRIEL PASCUAL CEREZO</v>
      </c>
      <c r="D7" s="218" t="s">
        <v>18</v>
      </c>
      <c r="E7" s="116" t="str">
        <f aca="false">pedido!M13</f>
        <v>gabi@tantalos.es</v>
      </c>
    </row>
    <row r="8" customFormat="false" ht="23.25" hidden="false" customHeight="false" outlineLevel="0" collapsed="false">
      <c r="A8" s="175"/>
      <c r="B8" s="224"/>
      <c r="C8" s="224"/>
      <c r="D8" s="224"/>
      <c r="E8" s="224"/>
    </row>
    <row r="9" customFormat="false" ht="23.25" hidden="false" customHeight="false" outlineLevel="0" collapsed="false">
      <c r="A9" s="175"/>
      <c r="B9" s="224" t="s">
        <v>66</v>
      </c>
      <c r="C9" s="224" t="str">
        <f aca="false">factura!E5</f>
        <v>Nº:</v>
      </c>
      <c r="D9" s="224" t="str">
        <f aca="false">factura!E6</f>
        <v>FECHA.26/12/2025</v>
      </c>
      <c r="E9" s="224"/>
    </row>
    <row r="10" customFormat="false" ht="23.25" hidden="false" customHeight="false" outlineLevel="0" collapsed="false">
      <c r="A10" s="175"/>
      <c r="B10" s="224"/>
      <c r="C10" s="224"/>
      <c r="D10" s="224"/>
      <c r="E10" s="224"/>
    </row>
    <row r="11" customFormat="false" ht="23.25" hidden="false" customHeight="false" outlineLevel="0" collapsed="false">
      <c r="A11" s="175"/>
      <c r="B11" s="225" t="s">
        <v>118</v>
      </c>
      <c r="C11" s="226" t="n">
        <f aca="false">'Hoja Entrega Transporte'!C13</f>
        <v>0</v>
      </c>
      <c r="D11" s="225" t="s">
        <v>119</v>
      </c>
      <c r="E11" s="226"/>
    </row>
    <row r="12" customFormat="false" ht="23.25" hidden="false" customHeight="false" outlineLevel="0" collapsed="false">
      <c r="A12" s="175"/>
      <c r="B12" s="224"/>
      <c r="C12" s="224"/>
      <c r="D12" s="224"/>
      <c r="E12" s="224"/>
    </row>
    <row r="13" customFormat="false" ht="23.25" hidden="false" customHeight="false" outlineLevel="0" collapsed="false">
      <c r="A13" s="175"/>
      <c r="B13" s="224" t="s">
        <v>120</v>
      </c>
      <c r="C13" s="226" t="n">
        <f aca="false">'Hoja Entrega Transporte'!C14</f>
        <v>0</v>
      </c>
      <c r="D13" s="224" t="s">
        <v>121</v>
      </c>
      <c r="E13" s="226" t="n">
        <f aca="false">'Hoja Entrega Transporte'!C15</f>
        <v>0</v>
      </c>
    </row>
    <row r="14" customFormat="false" ht="15" hidden="false" customHeight="false" outlineLevel="0" collapsed="false">
      <c r="A14" s="175"/>
      <c r="B14" s="175"/>
      <c r="C14" s="175"/>
      <c r="D14" s="175"/>
      <c r="E14" s="175"/>
    </row>
    <row r="15" customFormat="false" ht="15" hidden="false" customHeight="false" outlineLevel="0" collapsed="false">
      <c r="A15" s="175"/>
      <c r="B15" s="175"/>
      <c r="C15" s="175"/>
      <c r="D15" s="175"/>
      <c r="E15" s="175"/>
    </row>
    <row r="16" customFormat="false" ht="15" hidden="false" customHeight="false" outlineLevel="0" collapsed="false">
      <c r="A16" s="175"/>
      <c r="B16" s="175"/>
      <c r="C16" s="175"/>
      <c r="D16" s="175"/>
      <c r="E16" s="175"/>
    </row>
    <row r="17" customFormat="false" ht="15" hidden="false" customHeight="false" outlineLevel="0" collapsed="false">
      <c r="A17" s="175"/>
      <c r="B17" s="175"/>
      <c r="C17" s="175"/>
      <c r="D17" s="175"/>
      <c r="E17" s="175"/>
    </row>
    <row r="18" customFormat="false" ht="15" hidden="false" customHeight="false" outlineLevel="0" collapsed="false">
      <c r="A18" s="175"/>
      <c r="B18" s="175"/>
      <c r="C18" s="175"/>
      <c r="D18" s="175"/>
      <c r="E18" s="175"/>
    </row>
    <row r="19" customFormat="false" ht="15" hidden="false" customHeight="false" outlineLevel="0" collapsed="false">
      <c r="A19" s="175"/>
      <c r="B19" s="175"/>
      <c r="C19" s="175"/>
      <c r="D19" s="175"/>
      <c r="E19" s="175"/>
    </row>
    <row r="20" customFormat="false" ht="15" hidden="false" customHeight="false" outlineLevel="0" collapsed="false">
      <c r="A20" s="175"/>
      <c r="B20" s="175"/>
      <c r="C20" s="175"/>
      <c r="D20" s="175"/>
      <c r="E20" s="175"/>
    </row>
    <row r="21" customFormat="false" ht="15" hidden="false" customHeight="false" outlineLevel="0" collapsed="false">
      <c r="A21" s="175"/>
      <c r="B21" s="175"/>
      <c r="C21" s="175"/>
      <c r="D21" s="175"/>
      <c r="E21" s="175"/>
    </row>
    <row r="22" customFormat="false" ht="15" hidden="false" customHeight="false" outlineLevel="0" collapsed="false">
      <c r="A22" s="175"/>
      <c r="B22" s="175"/>
      <c r="C22" s="175"/>
      <c r="D22" s="175"/>
      <c r="E22" s="175"/>
    </row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1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LibreOffice/7.3.4.2$Windows_X86_64 LibreOffice_project/728fec16bd5f605073805c3c9e7c4212a0120dc5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2025-06-23T11:43:36Z</dcterms:created>
  <dc:creator>Norberto Elda</dc:creator>
  <dc:description/>
  <dc:language>es-ES</dc:language>
  <cp:lastModifiedBy/>
  <dcterms:modified xsi:type="dcterms:W3CDTF">2026-01-07T03:28:51Z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