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resupuestatorvoice\"/>
    </mc:Choice>
  </mc:AlternateContent>
  <xr:revisionPtr revIDLastSave="0" documentId="13_ncr:1_{66C83812-97ED-4098-B553-058D81031014}" xr6:coauthVersionLast="47" xr6:coauthVersionMax="47" xr10:uidLastSave="{00000000-0000-0000-0000-000000000000}"/>
  <bookViews>
    <workbookView xWindow="-120" yWindow="-120" windowWidth="19440" windowHeight="14880" tabRatio="500" xr2:uid="{00000000-000D-0000-FFFF-FFFF00000000}"/>
  </bookViews>
  <sheets>
    <sheet name="proforma" sheetId="1" r:id="rId1"/>
    <sheet name="pedido" sheetId="2" r:id="rId2"/>
    <sheet name="albaran" sheetId="3" r:id="rId3"/>
    <sheet name="factura" sheetId="4" r:id="rId4"/>
    <sheet name="Hoja Entrega Transporte" sheetId="5" r:id="rId5"/>
    <sheet name="Carta de Portes" sheetId="6" r:id="rId6"/>
    <sheet name="etiquetas envio" sheetId="7" r:id="rId7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7" l="1"/>
  <c r="G9" i="6"/>
  <c r="E23" i="5"/>
  <c r="G11" i="6" s="1"/>
  <c r="C17" i="5"/>
  <c r="C16" i="5"/>
  <c r="C15" i="5"/>
  <c r="E13" i="7" s="1"/>
  <c r="C14" i="5"/>
  <c r="C13" i="7" s="1"/>
  <c r="C13" i="5"/>
  <c r="C11" i="7" s="1"/>
  <c r="E5" i="5"/>
  <c r="C59" i="4"/>
  <c r="C58" i="4"/>
  <c r="C57" i="4"/>
  <c r="C56" i="4"/>
  <c r="B50" i="4"/>
  <c r="D49" i="4"/>
  <c r="B49" i="4"/>
  <c r="F48" i="4"/>
  <c r="E48" i="4"/>
  <c r="D48" i="4"/>
  <c r="B48" i="4"/>
  <c r="E47" i="4"/>
  <c r="D47" i="4"/>
  <c r="F47" i="4" s="1"/>
  <c r="B47" i="4"/>
  <c r="F46" i="4"/>
  <c r="D46" i="4"/>
  <c r="B46" i="4"/>
  <c r="D45" i="4"/>
  <c r="B45" i="4"/>
  <c r="D44" i="4"/>
  <c r="B44" i="4"/>
  <c r="E42" i="4"/>
  <c r="D42" i="4"/>
  <c r="F42" i="4" s="1"/>
  <c r="C42" i="4"/>
  <c r="B42" i="4"/>
  <c r="E41" i="4"/>
  <c r="D41" i="4"/>
  <c r="F41" i="4" s="1"/>
  <c r="C41" i="4"/>
  <c r="B41" i="4"/>
  <c r="E40" i="4"/>
  <c r="D40" i="4"/>
  <c r="F40" i="4" s="1"/>
  <c r="C40" i="4"/>
  <c r="B40" i="4"/>
  <c r="E39" i="4"/>
  <c r="D39" i="4"/>
  <c r="F39" i="4" s="1"/>
  <c r="C39" i="4"/>
  <c r="B39" i="4"/>
  <c r="E38" i="4"/>
  <c r="D38" i="4"/>
  <c r="F38" i="4" s="1"/>
  <c r="C38" i="4"/>
  <c r="B38" i="4"/>
  <c r="E37" i="4"/>
  <c r="D37" i="4"/>
  <c r="F37" i="4" s="1"/>
  <c r="C37" i="4"/>
  <c r="B37" i="4"/>
  <c r="E36" i="4"/>
  <c r="D36" i="4"/>
  <c r="F36" i="4" s="1"/>
  <c r="C36" i="4"/>
  <c r="B36" i="4"/>
  <c r="E35" i="4"/>
  <c r="D35" i="4"/>
  <c r="F35" i="4" s="1"/>
  <c r="C35" i="4"/>
  <c r="B35" i="4"/>
  <c r="E34" i="4"/>
  <c r="D34" i="4"/>
  <c r="F34" i="4" s="1"/>
  <c r="C34" i="4"/>
  <c r="B34" i="4"/>
  <c r="E33" i="4"/>
  <c r="D33" i="4"/>
  <c r="F33" i="4" s="1"/>
  <c r="C33" i="4"/>
  <c r="B33" i="4"/>
  <c r="E32" i="4"/>
  <c r="D32" i="4"/>
  <c r="F32" i="4" s="1"/>
  <c r="C32" i="4"/>
  <c r="B32" i="4"/>
  <c r="F31" i="4"/>
  <c r="E31" i="4"/>
  <c r="D31" i="4"/>
  <c r="C31" i="4"/>
  <c r="B31" i="4"/>
  <c r="E30" i="4"/>
  <c r="D30" i="4"/>
  <c r="F30" i="4" s="1"/>
  <c r="C30" i="4"/>
  <c r="B30" i="4"/>
  <c r="E29" i="4"/>
  <c r="D29" i="4"/>
  <c r="F29" i="4" s="1"/>
  <c r="C29" i="4"/>
  <c r="B29" i="4"/>
  <c r="E28" i="4"/>
  <c r="D28" i="4"/>
  <c r="F28" i="4" s="1"/>
  <c r="C28" i="4"/>
  <c r="B28" i="4"/>
  <c r="E27" i="4"/>
  <c r="D27" i="4"/>
  <c r="F27" i="4" s="1"/>
  <c r="C27" i="4"/>
  <c r="B27" i="4"/>
  <c r="E26" i="4"/>
  <c r="D26" i="4"/>
  <c r="F26" i="4" s="1"/>
  <c r="C26" i="4"/>
  <c r="B26" i="4"/>
  <c r="E25" i="4"/>
  <c r="D25" i="4"/>
  <c r="F25" i="4" s="1"/>
  <c r="C25" i="4"/>
  <c r="B25" i="4"/>
  <c r="F24" i="4"/>
  <c r="E24" i="4"/>
  <c r="D24" i="4"/>
  <c r="C24" i="4"/>
  <c r="B24" i="4"/>
  <c r="E23" i="4"/>
  <c r="D23" i="4"/>
  <c r="F23" i="4" s="1"/>
  <c r="C23" i="4"/>
  <c r="B23" i="4"/>
  <c r="F22" i="4"/>
  <c r="E22" i="4"/>
  <c r="D22" i="4"/>
  <c r="C22" i="4"/>
  <c r="B22" i="4"/>
  <c r="E21" i="4"/>
  <c r="D21" i="4"/>
  <c r="F21" i="4" s="1"/>
  <c r="C21" i="4"/>
  <c r="B21" i="4"/>
  <c r="E20" i="4"/>
  <c r="C20" i="4"/>
  <c r="B20" i="4"/>
  <c r="C19" i="4"/>
  <c r="B19" i="4"/>
  <c r="F18" i="4"/>
  <c r="E14" i="4"/>
  <c r="E13" i="4"/>
  <c r="C13" i="4"/>
  <c r="E12" i="4"/>
  <c r="C12" i="4"/>
  <c r="E11" i="4"/>
  <c r="C11" i="4"/>
  <c r="E10" i="4"/>
  <c r="C10" i="4"/>
  <c r="E9" i="4"/>
  <c r="C9" i="4"/>
  <c r="F7" i="4"/>
  <c r="E6" i="4"/>
  <c r="D9" i="7" s="1"/>
  <c r="C60" i="3"/>
  <c r="C59" i="3"/>
  <c r="C58" i="3"/>
  <c r="C57" i="3"/>
  <c r="B51" i="3"/>
  <c r="D50" i="3"/>
  <c r="D49" i="3"/>
  <c r="B49" i="3"/>
  <c r="D48" i="3"/>
  <c r="B48" i="3"/>
  <c r="B47" i="3"/>
  <c r="D46" i="3"/>
  <c r="B46" i="3"/>
  <c r="B45" i="3"/>
  <c r="D43" i="3"/>
  <c r="C43" i="3"/>
  <c r="B43" i="3"/>
  <c r="C42" i="3"/>
  <c r="B42" i="3"/>
  <c r="C41" i="3"/>
  <c r="B41" i="3"/>
  <c r="D40" i="3"/>
  <c r="C40" i="3"/>
  <c r="B40" i="3"/>
  <c r="D39" i="3"/>
  <c r="C39" i="3"/>
  <c r="B39" i="3"/>
  <c r="D38" i="3"/>
  <c r="C38" i="3"/>
  <c r="B38" i="3"/>
  <c r="D37" i="3"/>
  <c r="C37" i="3"/>
  <c r="B37" i="3"/>
  <c r="D36" i="3"/>
  <c r="C36" i="3"/>
  <c r="B36" i="3"/>
  <c r="D35" i="3"/>
  <c r="C35" i="3"/>
  <c r="B35" i="3"/>
  <c r="D34" i="3"/>
  <c r="C34" i="3"/>
  <c r="B34" i="3"/>
  <c r="D33" i="3"/>
  <c r="C33" i="3"/>
  <c r="B33" i="3"/>
  <c r="D32" i="3"/>
  <c r="C32" i="3"/>
  <c r="B32" i="3"/>
  <c r="D31" i="3"/>
  <c r="C31" i="3"/>
  <c r="B31" i="3"/>
  <c r="D30" i="3"/>
  <c r="C30" i="3"/>
  <c r="B30" i="3"/>
  <c r="D29" i="3"/>
  <c r="C29" i="3"/>
  <c r="B29" i="3"/>
  <c r="D28" i="3"/>
  <c r="C28" i="3"/>
  <c r="B28" i="3"/>
  <c r="D27" i="3"/>
  <c r="C27" i="3"/>
  <c r="B27" i="3"/>
  <c r="D26" i="3"/>
  <c r="C26" i="3"/>
  <c r="B26" i="3"/>
  <c r="D25" i="3"/>
  <c r="C25" i="3"/>
  <c r="B25" i="3"/>
  <c r="D24" i="3"/>
  <c r="C24" i="3"/>
  <c r="B24" i="3"/>
  <c r="D23" i="3"/>
  <c r="C23" i="3"/>
  <c r="B23" i="3"/>
  <c r="D22" i="3"/>
  <c r="C22" i="3"/>
  <c r="B22" i="3"/>
  <c r="D21" i="3"/>
  <c r="C21" i="3"/>
  <c r="B21" i="3"/>
  <c r="D20" i="3"/>
  <c r="C20" i="3"/>
  <c r="B20" i="3"/>
  <c r="D19" i="3"/>
  <c r="C19" i="3"/>
  <c r="B19" i="3"/>
  <c r="F18" i="3"/>
  <c r="E14" i="3"/>
  <c r="E13" i="3"/>
  <c r="C13" i="3"/>
  <c r="E12" i="3"/>
  <c r="E11" i="3"/>
  <c r="E10" i="3"/>
  <c r="E9" i="3"/>
  <c r="C9" i="3"/>
  <c r="E6" i="3"/>
  <c r="E5" i="3"/>
  <c r="C60" i="2"/>
  <c r="C59" i="2"/>
  <c r="C58" i="2"/>
  <c r="C57" i="2"/>
  <c r="D51" i="2"/>
  <c r="B51" i="2"/>
  <c r="D50" i="2"/>
  <c r="B50" i="2"/>
  <c r="E49" i="2"/>
  <c r="D49" i="2"/>
  <c r="B49" i="2"/>
  <c r="E48" i="2"/>
  <c r="D48" i="2"/>
  <c r="B48" i="2"/>
  <c r="D47" i="2"/>
  <c r="B47" i="2"/>
  <c r="D46" i="2"/>
  <c r="B46" i="2"/>
  <c r="D45" i="2"/>
  <c r="B45" i="2"/>
  <c r="E43" i="2"/>
  <c r="D43" i="2"/>
  <c r="F43" i="2" s="1"/>
  <c r="C43" i="2"/>
  <c r="B43" i="2"/>
  <c r="E42" i="2"/>
  <c r="D42" i="2"/>
  <c r="F42" i="2" s="1"/>
  <c r="C42" i="2"/>
  <c r="B42" i="2"/>
  <c r="E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D34" i="2"/>
  <c r="C34" i="2"/>
  <c r="B34" i="2"/>
  <c r="D33" i="2"/>
  <c r="C33" i="2"/>
  <c r="B33" i="2"/>
  <c r="D32" i="2"/>
  <c r="C32" i="2"/>
  <c r="B32" i="2"/>
  <c r="D31" i="2"/>
  <c r="C31" i="2"/>
  <c r="B31" i="2"/>
  <c r="D30" i="2"/>
  <c r="C30" i="2"/>
  <c r="B30" i="2"/>
  <c r="D29" i="2"/>
  <c r="C29" i="2"/>
  <c r="B29" i="2"/>
  <c r="D28" i="2"/>
  <c r="C28" i="2"/>
  <c r="B28" i="2"/>
  <c r="D27" i="2"/>
  <c r="C27" i="2"/>
  <c r="B27" i="2"/>
  <c r="D26" i="2"/>
  <c r="C26" i="2"/>
  <c r="B26" i="2"/>
  <c r="D25" i="2"/>
  <c r="C25" i="2"/>
  <c r="B25" i="2"/>
  <c r="D24" i="2"/>
  <c r="C24" i="2"/>
  <c r="B24" i="2"/>
  <c r="D23" i="2"/>
  <c r="C23" i="2"/>
  <c r="B23" i="2"/>
  <c r="D22" i="2"/>
  <c r="C22" i="2"/>
  <c r="B22" i="2"/>
  <c r="D21" i="2"/>
  <c r="C21" i="2"/>
  <c r="B21" i="2"/>
  <c r="D20" i="2"/>
  <c r="C20" i="2"/>
  <c r="B20" i="2"/>
  <c r="E19" i="2"/>
  <c r="D19" i="2"/>
  <c r="C19" i="2"/>
  <c r="B19" i="2"/>
  <c r="F18" i="2"/>
  <c r="E14" i="2"/>
  <c r="M13" i="2"/>
  <c r="E7" i="7" s="1"/>
  <c r="K13" i="2"/>
  <c r="C7" i="7" s="1"/>
  <c r="E13" i="2"/>
  <c r="C13" i="2"/>
  <c r="M12" i="2"/>
  <c r="E6" i="7" s="1"/>
  <c r="K12" i="2"/>
  <c r="C6" i="7" s="1"/>
  <c r="E12" i="2"/>
  <c r="C12" i="2"/>
  <c r="M11" i="2"/>
  <c r="E5" i="7" s="1"/>
  <c r="K11" i="2"/>
  <c r="C23" i="5" s="1"/>
  <c r="F11" i="6" s="1"/>
  <c r="E11" i="2"/>
  <c r="C11" i="2"/>
  <c r="M10" i="2"/>
  <c r="E22" i="5" s="1"/>
  <c r="K10" i="2"/>
  <c r="C4" i="7" s="1"/>
  <c r="E10" i="2"/>
  <c r="C10" i="2"/>
  <c r="M9" i="2"/>
  <c r="E3" i="7" s="1"/>
  <c r="K9" i="2"/>
  <c r="C3" i="7" s="1"/>
  <c r="E9" i="2"/>
  <c r="C9" i="2"/>
  <c r="E6" i="2"/>
  <c r="E5" i="2"/>
  <c r="F47" i="1"/>
  <c r="F49" i="2" s="1"/>
  <c r="F46" i="1"/>
  <c r="F48" i="2" s="1"/>
  <c r="F45" i="1"/>
  <c r="F47" i="2" s="1"/>
  <c r="F42" i="1"/>
  <c r="F41" i="1"/>
  <c r="F40" i="1"/>
  <c r="F39" i="1"/>
  <c r="F38" i="1"/>
  <c r="F37" i="1"/>
  <c r="F36" i="1"/>
  <c r="F18" i="1"/>
  <c r="F44" i="2" l="1"/>
  <c r="E6" i="5"/>
  <c r="F43" i="4"/>
  <c r="E4" i="7"/>
  <c r="C24" i="5"/>
  <c r="C5" i="7"/>
  <c r="E24" i="5"/>
  <c r="C25" i="5"/>
  <c r="E25" i="5"/>
  <c r="G10" i="6"/>
  <c r="F43" i="1"/>
  <c r="C21" i="5"/>
  <c r="E21" i="5"/>
  <c r="C22" i="5"/>
  <c r="F44" i="4" l="1"/>
  <c r="F45" i="4" s="1"/>
  <c r="F49" i="4" s="1"/>
  <c r="F45" i="2"/>
  <c r="F46" i="2" s="1"/>
  <c r="F50" i="2" s="1"/>
  <c r="F44" i="1"/>
  <c r="F48" i="1" s="1"/>
  <c r="F50" i="1" l="1"/>
  <c r="F49" i="1"/>
  <c r="F50" i="4" l="1"/>
  <c r="F51" i="4" s="1"/>
  <c r="F51" i="2"/>
  <c r="F52" i="2" s="1"/>
</calcChain>
</file>

<file path=xl/sharedStrings.xml><?xml version="1.0" encoding="utf-8"?>
<sst xmlns="http://schemas.openxmlformats.org/spreadsheetml/2006/main" count="248" uniqueCount="116">
  <si>
    <t>FACTURA PROFORMA:</t>
  </si>
  <si>
    <t>PROFORMA: 291225462RNM</t>
  </si>
  <si>
    <t>Datos del Cliente:</t>
  </si>
  <si>
    <t>Nombre:</t>
  </si>
  <si>
    <t>C.I.F:</t>
  </si>
  <si>
    <t>Dirección:</t>
  </si>
  <si>
    <t>C.P.:</t>
  </si>
  <si>
    <t>Ciudad:</t>
  </si>
  <si>
    <t>Provincia:</t>
  </si>
  <si>
    <t>Pais:</t>
  </si>
  <si>
    <t xml:space="preserve">Telf: </t>
  </si>
  <si>
    <t>Contacto:</t>
  </si>
  <si>
    <t>e -mail:</t>
  </si>
  <si>
    <t>Detalle de Conceptos:</t>
  </si>
  <si>
    <t>RESINAS 3D</t>
  </si>
  <si>
    <t>DENOMINACION</t>
  </si>
  <si>
    <t>Cant.Unit</t>
  </si>
  <si>
    <t>Precio €/U</t>
  </si>
  <si>
    <t>Total €</t>
  </si>
  <si>
    <t>SUB TOTAL BASE IMPONIBLE</t>
  </si>
  <si>
    <t>Descuento %</t>
  </si>
  <si>
    <t>ESPECIAL</t>
  </si>
  <si>
    <t>TOTAL BASE IMPONIBLE PINTURAS</t>
  </si>
  <si>
    <t>Portes Península</t>
  </si>
  <si>
    <t>Portes Minimos</t>
  </si>
  <si>
    <t>MANO DE OBRA</t>
  </si>
  <si>
    <t>Otros Varios</t>
  </si>
  <si>
    <t>TOTAL BASE IMPONIBLE</t>
  </si>
  <si>
    <t>21% IVA</t>
  </si>
  <si>
    <t>TOTAL FACTURA:</t>
  </si>
  <si>
    <t>Condiciones de Pago:</t>
  </si>
  <si>
    <t>Forma de Pago:</t>
  </si>
  <si>
    <t>Transferencia</t>
  </si>
  <si>
    <t>Banco/NºCta:</t>
  </si>
  <si>
    <t>Banco Sabadell  IBAN: ES14 0081 0286 8800 0184 3288</t>
  </si>
  <si>
    <t>Forma de Envio:</t>
  </si>
  <si>
    <t>portes pagados</t>
  </si>
  <si>
    <t>Vencimiento:</t>
  </si>
  <si>
    <t>NCHEMICALS RESINAS Y PINTURAS S.L.U.</t>
  </si>
  <si>
    <t>C/Cantueso 44</t>
  </si>
  <si>
    <t>TF:+34 633 48 00 92</t>
  </si>
  <si>
    <t>03600 ELDA (ALICANTE) – ESPAÑA</t>
  </si>
  <si>
    <t>C.I.F.: B16885279</t>
  </si>
  <si>
    <t>E-mail: hola@nchemicals.es</t>
  </si>
  <si>
    <t>suelosderesina@gmail.com</t>
  </si>
  <si>
    <t>PEDIDO:</t>
  </si>
  <si>
    <t>RELLENAR ENCIMA SI LA DIRECCION DE ENVIO ES DIFERENTE A LA DIRECCION DEL CLIENTE</t>
  </si>
  <si>
    <t>Datos del Envio:</t>
  </si>
  <si>
    <t>PESO NETO:</t>
  </si>
  <si>
    <t>PESO BRUTO :</t>
  </si>
  <si>
    <t>TOTAL BULTOS:</t>
  </si>
  <si>
    <t>PORTES:</t>
  </si>
  <si>
    <t>PAGADOS</t>
  </si>
  <si>
    <t>C/ Cantueso 34</t>
  </si>
  <si>
    <t>ALBARAN ENTREGA:</t>
  </si>
  <si>
    <t>c/cantueso 44</t>
  </si>
  <si>
    <t>FACTURA:</t>
  </si>
  <si>
    <t>Nº:</t>
  </si>
  <si>
    <t>Según Proforma</t>
  </si>
  <si>
    <t>Factura:</t>
  </si>
  <si>
    <t>Hoja de Entrega al Transportista:</t>
  </si>
  <si>
    <t>Entregamos al transportista :</t>
  </si>
  <si>
    <t>SCHENKER S.AU.</t>
  </si>
  <si>
    <t>de:</t>
  </si>
  <si>
    <t>ELDA(ALICANTE)</t>
  </si>
  <si>
    <t>la siguiente mercancia que abajo detallamos:</t>
  </si>
  <si>
    <t>Total de Bultos:</t>
  </si>
  <si>
    <t>Peso Neto(kg):</t>
  </si>
  <si>
    <t>Peso Bruto(Kg)</t>
  </si>
  <si>
    <t>Cubicaje (m3):</t>
  </si>
  <si>
    <t>Portes:</t>
  </si>
  <si>
    <t>Direccion de Envio:</t>
  </si>
  <si>
    <t>Observaciones:</t>
  </si>
  <si>
    <t>MERCANCIA NO SOMETIDA A LA CLASE 3</t>
  </si>
  <si>
    <t>Según marginal 2314 apartado 2 esta mercancía no esta sometida a la clase 3</t>
  </si>
  <si>
    <t>Mercancía clasificada como no peligrosa para el transporte por carretera</t>
  </si>
  <si>
    <t>NCHEMICALS PINTURAS Y RESINAS S.L. como propietario remitente de la mercancia CERTIFICA:</t>
  </si>
  <si>
    <t>*  Que los porductos del presente envio se ajustan estrictamente a los datos aquí reseñados.</t>
  </si>
  <si>
    <t>* Que las mercancías se encuentran en perfecto estado en el momento de su carga.</t>
  </si>
  <si>
    <t>Conformidad Transportista:</t>
  </si>
  <si>
    <t xml:space="preserve">                      NCHEMICALS PINTURAS Y RESINAS S.L.</t>
  </si>
  <si>
    <t xml:space="preserve">                             Un gerente</t>
  </si>
  <si>
    <t>Carta de Porte</t>
  </si>
  <si>
    <t>Carta de Portes correspondiente a nuestra factura:</t>
  </si>
  <si>
    <t>Destino:</t>
  </si>
  <si>
    <t>Nombre del Transportista:</t>
  </si>
  <si>
    <t>Matriucla del Vehiculo:</t>
  </si>
  <si>
    <t>Tek Lacke Chemie,S.L. certifica que estas mercancías se admiten al transporte por carretera y que su estado,</t>
  </si>
  <si>
    <t>acondicionamiento y etiquetaje, están de acuerdo con las disposiciones del ADR/RD 2115/1998</t>
  </si>
  <si>
    <t>El Abajo firmante declara:</t>
  </si>
  <si>
    <t xml:space="preserve">1.- Que el vehículo cargado cumple con las condiciones que establece el Reglamento </t>
  </si>
  <si>
    <t>Nacional para el Transporte de Mercancías Peligrosas por Carretera./</t>
  </si>
  <si>
    <t>2.- Haberse realizado correctamente la carga y estiba de las mercancías.</t>
  </si>
  <si>
    <t>3.- Haber recibido de NCHEMICALS PINTURAS Y RESINAS S.L., las hojas de instrucciones escritas respecto a:</t>
  </si>
  <si>
    <t>La naturaleza y peligro de las mercancías a transportar.</t>
  </si>
  <si>
    <t xml:space="preserve">Las medidas a adoptar en caso de accidente, incendio o rotura de envases, </t>
  </si>
  <si>
    <t>todas las cuales conozco.</t>
  </si>
  <si>
    <t>4.- Conocer las disposiciones generales y especiales sobre vehículos; carga, descarga</t>
  </si>
  <si>
    <t xml:space="preserve">, manipulación y circulación de las mercancías que establece el citado Reglamento. </t>
  </si>
  <si>
    <t>Firma del Transportista:</t>
  </si>
  <si>
    <t>Firma del Expedidor:</t>
  </si>
  <si>
    <t>Nombre</t>
  </si>
  <si>
    <t>DNI:</t>
  </si>
  <si>
    <t>Relación de mercancías transportadas y clasificadas según ADR</t>
  </si>
  <si>
    <t>Mercancias</t>
  </si>
  <si>
    <t>NºOnu</t>
  </si>
  <si>
    <t>Clasificación</t>
  </si>
  <si>
    <t>Pinturas</t>
  </si>
  <si>
    <t>UN 1263</t>
  </si>
  <si>
    <t>seguna marginal 2314 apartado 2 esta mercancia no está sometida a la clase 3</t>
  </si>
  <si>
    <t>Mercancia clasificada como no èligrosa para el transporte por carretera</t>
  </si>
  <si>
    <t>Nº DE BULTOS:</t>
  </si>
  <si>
    <t>BULTOS Nº:</t>
  </si>
  <si>
    <t>PESO NETO(Kg):</t>
  </si>
  <si>
    <t>PESO BRUTO(Kg):</t>
  </si>
  <si>
    <t>FECHA:26/12/2025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</si>
</sst>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dd/mmm"/>
  </numFmts>
  <fonts count="45" x14ac:knownFonts="1"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20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2"/>
      <color rgb="FF333333"/>
      <name val="Arial"/>
      <family val="2"/>
      <charset val="1"/>
    </font>
    <font>
      <sz val="12"/>
      <color rgb="FF000000"/>
      <name val="Century Gothic"/>
      <family val="2"/>
      <charset val="1"/>
    </font>
    <font>
      <b/>
      <sz val="14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  <font>
      <b/>
      <sz val="12"/>
      <color rgb="FFFF0000"/>
      <name val="Calibri"/>
      <family val="2"/>
      <charset val="1"/>
    </font>
    <font>
      <b/>
      <sz val="10"/>
      <name val="Arial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2"/>
      <name val="Calibri"/>
      <family val="2"/>
      <charset val="1"/>
    </font>
    <font>
      <b/>
      <sz val="12"/>
      <name val="Arial"/>
      <family val="2"/>
      <charset val="1"/>
    </font>
    <font>
      <sz val="12"/>
      <color rgb="FFFF0000"/>
      <name val="Calibri"/>
      <family val="2"/>
      <charset val="1"/>
    </font>
    <font>
      <b/>
      <u/>
      <sz val="12"/>
      <name val="Arial"/>
      <family val="2"/>
      <charset val="1"/>
    </font>
    <font>
      <b/>
      <sz val="14"/>
      <color rgb="FFFF0000"/>
      <name val="Calibri"/>
      <family val="2"/>
      <charset val="1"/>
    </font>
    <font>
      <sz val="16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2"/>
      <color rgb="FF003366"/>
      <name val="Calibri"/>
      <family val="2"/>
      <charset val="1"/>
    </font>
    <font>
      <b/>
      <sz val="20"/>
      <name val="Calibri"/>
      <family val="2"/>
      <charset val="1"/>
    </font>
    <font>
      <sz val="12"/>
      <name val="Calibri"/>
      <family val="2"/>
      <charset val="1"/>
    </font>
    <font>
      <b/>
      <sz val="16"/>
      <name val="Calibri"/>
      <family val="2"/>
      <charset val="1"/>
    </font>
    <font>
      <b/>
      <sz val="11"/>
      <name val="Calibri"/>
      <family val="2"/>
      <charset val="1"/>
    </font>
    <font>
      <b/>
      <sz val="18"/>
      <name val="Calibri"/>
      <family val="2"/>
      <charset val="1"/>
    </font>
    <font>
      <sz val="14"/>
      <name val="Calibri"/>
      <family val="2"/>
      <charset val="1"/>
    </font>
    <font>
      <b/>
      <sz val="14"/>
      <name val="Calibri"/>
      <family val="2"/>
      <charset val="1"/>
    </font>
    <font>
      <sz val="14"/>
      <color rgb="FF003366"/>
      <name val="Calibri"/>
      <family val="2"/>
      <charset val="1"/>
    </font>
    <font>
      <sz val="16"/>
      <color rgb="FF003366"/>
      <name val="Calibri"/>
      <family val="2"/>
      <charset val="1"/>
    </font>
    <font>
      <sz val="11"/>
      <name val="Calibri"/>
      <family val="2"/>
      <charset val="1"/>
    </font>
    <font>
      <sz val="11"/>
      <color rgb="FF0000FF"/>
      <name val="Calibri"/>
      <family val="2"/>
      <charset val="1"/>
    </font>
    <font>
      <sz val="12"/>
      <color rgb="FF0000FF"/>
      <name val="Calibri"/>
      <family val="2"/>
      <charset val="1"/>
    </font>
    <font>
      <b/>
      <sz val="24"/>
      <name val="Calibri"/>
      <family val="2"/>
      <charset val="1"/>
    </font>
    <font>
      <b/>
      <sz val="22"/>
      <name val="Calibri"/>
      <family val="2"/>
      <charset val="1"/>
    </font>
    <font>
      <b/>
      <sz val="14"/>
      <name val="Arial"/>
      <family val="2"/>
      <charset val="1"/>
    </font>
    <font>
      <b/>
      <sz val="8"/>
      <name val="Arial"/>
      <family val="2"/>
      <charset val="1"/>
    </font>
    <font>
      <sz val="11"/>
      <color rgb="FF003366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28"/>
      <color rgb="FFFFFFFF"/>
      <name val="Calibri"/>
      <family val="2"/>
      <charset val="1"/>
    </font>
    <font>
      <sz val="16"/>
      <name val="Calibri"/>
      <family val="2"/>
      <charset val="1"/>
    </font>
    <font>
      <sz val="24"/>
      <name val="Calibri"/>
      <family val="2"/>
      <charset val="1"/>
    </font>
    <font>
      <b/>
      <sz val="26"/>
      <name val="Calibri"/>
      <family val="2"/>
      <charset val="1"/>
    </font>
    <font>
      <sz val="1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000000"/>
        <bgColor rgb="FF003300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Border="0" applyProtection="0"/>
  </cellStyleXfs>
  <cellXfs count="206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center"/>
    </xf>
    <xf numFmtId="0" fontId="4" fillId="0" borderId="0" xfId="0" applyFont="1"/>
    <xf numFmtId="0" fontId="5" fillId="0" borderId="1" xfId="0" applyFont="1" applyBorder="1"/>
    <xf numFmtId="0" fontId="6" fillId="0" borderId="0" xfId="0" applyFont="1"/>
    <xf numFmtId="4" fontId="5" fillId="0" borderId="1" xfId="0" applyNumberFormat="1" applyFont="1" applyBorder="1"/>
    <xf numFmtId="0" fontId="7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0" fontId="9" fillId="0" borderId="0" xfId="1" applyBorder="1" applyProtection="1"/>
    <xf numFmtId="0" fontId="5" fillId="0" borderId="2" xfId="0" applyFont="1" applyBorder="1"/>
    <xf numFmtId="4" fontId="5" fillId="0" borderId="2" xfId="0" applyNumberFormat="1" applyFont="1" applyBorder="1"/>
    <xf numFmtId="0" fontId="10" fillId="0" borderId="0" xfId="0" applyFont="1"/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11" fillId="2" borderId="3" xfId="0" applyFont="1" applyFill="1" applyBorder="1"/>
    <xf numFmtId="4" fontId="11" fillId="2" borderId="3" xfId="0" applyNumberFormat="1" applyFont="1" applyFill="1" applyBorder="1"/>
    <xf numFmtId="2" fontId="11" fillId="2" borderId="3" xfId="0" applyNumberFormat="1" applyFont="1" applyFill="1" applyBorder="1"/>
    <xf numFmtId="4" fontId="12" fillId="2" borderId="3" xfId="0" applyNumberFormat="1" applyFont="1" applyFill="1" applyBorder="1" applyAlignment="1">
      <alignment horizontal="right"/>
    </xf>
    <xf numFmtId="0" fontId="13" fillId="0" borderId="0" xfId="0" applyFont="1"/>
    <xf numFmtId="0" fontId="14" fillId="0" borderId="0" xfId="0" applyFont="1"/>
    <xf numFmtId="3" fontId="15" fillId="0" borderId="0" xfId="0" applyNumberFormat="1" applyFont="1"/>
    <xf numFmtId="4" fontId="12" fillId="0" borderId="0" xfId="0" applyNumberFormat="1" applyFont="1" applyAlignment="1">
      <alignment horizontal="right"/>
    </xf>
    <xf numFmtId="0" fontId="16" fillId="0" borderId="0" xfId="0" applyFont="1"/>
    <xf numFmtId="3" fontId="17" fillId="0" borderId="0" xfId="0" applyNumberFormat="1" applyFont="1"/>
    <xf numFmtId="2" fontId="8" fillId="0" borderId="1" xfId="0" applyNumberFormat="1" applyFont="1" applyBorder="1"/>
    <xf numFmtId="4" fontId="8" fillId="0" borderId="1" xfId="0" applyNumberFormat="1" applyFont="1" applyBorder="1"/>
    <xf numFmtId="0" fontId="8" fillId="0" borderId="2" xfId="0" applyFont="1" applyBorder="1"/>
    <xf numFmtId="0" fontId="18" fillId="0" borderId="2" xfId="0" applyFont="1" applyBorder="1"/>
    <xf numFmtId="0" fontId="18" fillId="2" borderId="4" xfId="0" applyFont="1" applyFill="1" applyBorder="1"/>
    <xf numFmtId="4" fontId="8" fillId="0" borderId="2" xfId="0" applyNumberFormat="1" applyFont="1" applyBorder="1"/>
    <xf numFmtId="4" fontId="18" fillId="0" borderId="2" xfId="0" applyNumberFormat="1" applyFont="1" applyBorder="1"/>
    <xf numFmtId="0" fontId="8" fillId="2" borderId="0" xfId="0" applyFont="1" applyFill="1"/>
    <xf numFmtId="4" fontId="8" fillId="2" borderId="0" xfId="0" applyNumberFormat="1" applyFont="1" applyFill="1"/>
    <xf numFmtId="0" fontId="8" fillId="0" borderId="0" xfId="0" applyFont="1"/>
    <xf numFmtId="0" fontId="18" fillId="0" borderId="0" xfId="0" applyFont="1"/>
    <xf numFmtId="4" fontId="8" fillId="0" borderId="0" xfId="0" applyNumberFormat="1" applyFont="1"/>
    <xf numFmtId="0" fontId="19" fillId="0" borderId="0" xfId="0" applyFont="1"/>
    <xf numFmtId="0" fontId="8" fillId="0" borderId="3" xfId="0" applyFont="1" applyBorder="1"/>
    <xf numFmtId="4" fontId="8" fillId="0" borderId="3" xfId="0" applyNumberFormat="1" applyFont="1" applyBorder="1"/>
    <xf numFmtId="0" fontId="1" fillId="0" borderId="3" xfId="0" applyFont="1" applyBorder="1"/>
    <xf numFmtId="4" fontId="1" fillId="0" borderId="3" xfId="0" applyNumberFormat="1" applyFont="1" applyBorder="1"/>
    <xf numFmtId="0" fontId="12" fillId="0" borderId="3" xfId="0" applyFont="1" applyBorder="1"/>
    <xf numFmtId="4" fontId="12" fillId="0" borderId="3" xfId="0" applyNumberFormat="1" applyFont="1" applyBorder="1"/>
    <xf numFmtId="0" fontId="1" fillId="0" borderId="2" xfId="0" applyFont="1" applyBorder="1"/>
    <xf numFmtId="165" fontId="1" fillId="0" borderId="2" xfId="0" applyNumberFormat="1" applyFont="1" applyBorder="1"/>
    <xf numFmtId="4" fontId="1" fillId="0" borderId="2" xfId="0" applyNumberFormat="1" applyFont="1" applyBorder="1"/>
    <xf numFmtId="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4" fontId="9" fillId="0" borderId="0" xfId="1" applyNumberFormat="1" applyBorder="1" applyProtection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4" fillId="0" borderId="8" xfId="0" applyFont="1" applyBorder="1"/>
    <xf numFmtId="0" fontId="3" fillId="0" borderId="9" xfId="0" applyFont="1" applyBorder="1"/>
    <xf numFmtId="4" fontId="1" fillId="0" borderId="9" xfId="0" applyNumberFormat="1" applyFont="1" applyBorder="1"/>
    <xf numFmtId="0" fontId="5" fillId="0" borderId="1" xfId="0" applyFont="1" applyBorder="1" applyAlignment="1">
      <alignment horizontal="right"/>
    </xf>
    <xf numFmtId="0" fontId="5" fillId="0" borderId="10" xfId="0" applyFont="1" applyBorder="1"/>
    <xf numFmtId="0" fontId="5" fillId="0" borderId="11" xfId="0" applyFont="1" applyBorder="1"/>
    <xf numFmtId="4" fontId="5" fillId="0" borderId="11" xfId="0" applyNumberFormat="1" applyFont="1" applyBorder="1"/>
    <xf numFmtId="164" fontId="5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3" xfId="0" applyFont="1" applyBorder="1"/>
    <xf numFmtId="0" fontId="20" fillId="0" borderId="3" xfId="0" applyFont="1" applyBorder="1" applyAlignment="1">
      <alignment horizontal="right"/>
    </xf>
    <xf numFmtId="4" fontId="5" fillId="0" borderId="12" xfId="0" applyNumberFormat="1" applyFont="1" applyBorder="1"/>
    <xf numFmtId="0" fontId="5" fillId="0" borderId="0" xfId="0" applyFont="1" applyAlignment="1">
      <alignment horizontal="right"/>
    </xf>
    <xf numFmtId="0" fontId="1" fillId="2" borderId="9" xfId="0" applyFont="1" applyFill="1" applyBorder="1"/>
    <xf numFmtId="0" fontId="1" fillId="2" borderId="0" xfId="0" applyFont="1" applyFill="1"/>
    <xf numFmtId="4" fontId="1" fillId="0" borderId="1" xfId="0" applyNumberFormat="1" applyFont="1" applyBorder="1"/>
    <xf numFmtId="0" fontId="1" fillId="0" borderId="13" xfId="0" applyFont="1" applyBorder="1"/>
    <xf numFmtId="0" fontId="5" fillId="0" borderId="13" xfId="0" applyFont="1" applyBorder="1"/>
    <xf numFmtId="0" fontId="1" fillId="0" borderId="12" xfId="0" applyFont="1" applyBorder="1" applyAlignment="1">
      <alignment horizontal="right"/>
    </xf>
    <xf numFmtId="2" fontId="8" fillId="0" borderId="2" xfId="0" applyNumberFormat="1" applyFont="1" applyBorder="1"/>
    <xf numFmtId="0" fontId="8" fillId="2" borderId="1" xfId="0" applyFont="1" applyFill="1" applyBorder="1"/>
    <xf numFmtId="4" fontId="8" fillId="2" borderId="1" xfId="0" applyNumberFormat="1" applyFont="1" applyFill="1" applyBorder="1"/>
    <xf numFmtId="14" fontId="1" fillId="0" borderId="2" xfId="0" applyNumberFormat="1" applyFont="1" applyBorder="1"/>
    <xf numFmtId="164" fontId="8" fillId="0" borderId="1" xfId="0" applyNumberFormat="1" applyFont="1" applyBorder="1"/>
    <xf numFmtId="0" fontId="0" fillId="0" borderId="1" xfId="0" applyBorder="1" applyAlignment="1">
      <alignment horizontal="center"/>
    </xf>
    <xf numFmtId="0" fontId="21" fillId="0" borderId="0" xfId="0" applyFont="1"/>
    <xf numFmtId="0" fontId="22" fillId="0" borderId="0" xfId="0" applyFont="1"/>
    <xf numFmtId="4" fontId="23" fillId="0" borderId="0" xfId="0" applyNumberFormat="1" applyFont="1"/>
    <xf numFmtId="0" fontId="24" fillId="0" borderId="0" xfId="0" applyFont="1"/>
    <xf numFmtId="4" fontId="24" fillId="0" borderId="0" xfId="0" applyNumberFormat="1" applyFont="1"/>
    <xf numFmtId="4" fontId="25" fillId="0" borderId="0" xfId="0" applyNumberFormat="1" applyFont="1"/>
    <xf numFmtId="0" fontId="26" fillId="0" borderId="0" xfId="0" applyFont="1"/>
    <xf numFmtId="0" fontId="23" fillId="0" borderId="0" xfId="0" applyFont="1"/>
    <xf numFmtId="0" fontId="27" fillId="0" borderId="1" xfId="0" applyFont="1" applyBorder="1"/>
    <xf numFmtId="0" fontId="28" fillId="0" borderId="1" xfId="0" applyFont="1" applyBorder="1"/>
    <xf numFmtId="0" fontId="27" fillId="0" borderId="1" xfId="0" applyFont="1" applyBorder="1" applyAlignment="1">
      <alignment horizontal="right"/>
    </xf>
    <xf numFmtId="4" fontId="27" fillId="0" borderId="1" xfId="0" applyNumberFormat="1" applyFont="1" applyBorder="1"/>
    <xf numFmtId="164" fontId="28" fillId="0" borderId="1" xfId="0" applyNumberFormat="1" applyFont="1" applyBorder="1" applyAlignment="1">
      <alignment horizontal="right"/>
    </xf>
    <xf numFmtId="0" fontId="28" fillId="0" borderId="1" xfId="0" applyFont="1" applyBorder="1" applyAlignment="1">
      <alignment horizontal="right"/>
    </xf>
    <xf numFmtId="0" fontId="23" fillId="0" borderId="1" xfId="0" applyFont="1" applyBorder="1" applyAlignment="1">
      <alignment horizontal="right"/>
    </xf>
    <xf numFmtId="0" fontId="27" fillId="0" borderId="2" xfId="0" applyFont="1" applyBorder="1"/>
    <xf numFmtId="0" fontId="27" fillId="0" borderId="0" xfId="0" applyFont="1" applyAlignment="1">
      <alignment horizontal="right"/>
    </xf>
    <xf numFmtId="4" fontId="27" fillId="0" borderId="2" xfId="0" applyNumberFormat="1" applyFont="1" applyBorder="1"/>
    <xf numFmtId="4" fontId="23" fillId="0" borderId="1" xfId="0" applyNumberFormat="1" applyFont="1" applyBorder="1"/>
    <xf numFmtId="0" fontId="29" fillId="0" borderId="0" xfId="0" applyFont="1"/>
    <xf numFmtId="0" fontId="24" fillId="0" borderId="1" xfId="0" applyFont="1" applyBorder="1"/>
    <xf numFmtId="0" fontId="24" fillId="0" borderId="1" xfId="0" applyFont="1" applyBorder="1" applyAlignment="1">
      <alignment horizontal="center"/>
    </xf>
    <xf numFmtId="4" fontId="24" fillId="0" borderId="1" xfId="0" applyNumberFormat="1" applyFont="1" applyBorder="1" applyAlignment="1">
      <alignment horizontal="center"/>
    </xf>
    <xf numFmtId="4" fontId="14" fillId="2" borderId="3" xfId="0" applyNumberFormat="1" applyFont="1" applyFill="1" applyBorder="1" applyAlignment="1">
      <alignment horizontal="right"/>
    </xf>
    <xf numFmtId="4" fontId="14" fillId="0" borderId="0" xfId="0" applyNumberFormat="1" applyFont="1" applyAlignment="1">
      <alignment horizontal="right"/>
    </xf>
    <xf numFmtId="2" fontId="28" fillId="0" borderId="1" xfId="0" applyNumberFormat="1" applyFont="1" applyBorder="1"/>
    <xf numFmtId="4" fontId="28" fillId="0" borderId="1" xfId="0" applyNumberFormat="1" applyFont="1" applyBorder="1"/>
    <xf numFmtId="0" fontId="28" fillId="0" borderId="2" xfId="0" applyFont="1" applyBorder="1"/>
    <xf numFmtId="2" fontId="28" fillId="0" borderId="2" xfId="0" applyNumberFormat="1" applyFont="1" applyBorder="1"/>
    <xf numFmtId="4" fontId="28" fillId="0" borderId="2" xfId="0" applyNumberFormat="1" applyFont="1" applyBorder="1"/>
    <xf numFmtId="0" fontId="28" fillId="2" borderId="0" xfId="0" applyFont="1" applyFill="1"/>
    <xf numFmtId="4" fontId="28" fillId="2" borderId="0" xfId="0" applyNumberFormat="1" applyFont="1" applyFill="1"/>
    <xf numFmtId="0" fontId="28" fillId="0" borderId="0" xfId="0" applyFont="1"/>
    <xf numFmtId="4" fontId="28" fillId="0" borderId="0" xfId="0" applyNumberFormat="1" applyFont="1"/>
    <xf numFmtId="0" fontId="30" fillId="0" borderId="0" xfId="0" applyFont="1"/>
    <xf numFmtId="0" fontId="28" fillId="2" borderId="1" xfId="0" applyFont="1" applyFill="1" applyBorder="1"/>
    <xf numFmtId="4" fontId="28" fillId="2" borderId="1" xfId="0" applyNumberFormat="1" applyFont="1" applyFill="1" applyBorder="1"/>
    <xf numFmtId="0" fontId="23" fillId="0" borderId="3" xfId="0" applyFont="1" applyBorder="1"/>
    <xf numFmtId="4" fontId="23" fillId="0" borderId="3" xfId="0" applyNumberFormat="1" applyFont="1" applyBorder="1"/>
    <xf numFmtId="0" fontId="14" fillId="0" borderId="3" xfId="0" applyFont="1" applyBorder="1"/>
    <xf numFmtId="4" fontId="14" fillId="0" borderId="3" xfId="0" applyNumberFormat="1" applyFont="1" applyBorder="1"/>
    <xf numFmtId="0" fontId="23" fillId="0" borderId="2" xfId="0" applyFont="1" applyBorder="1"/>
    <xf numFmtId="14" fontId="23" fillId="0" borderId="2" xfId="0" applyNumberFormat="1" applyFont="1" applyBorder="1"/>
    <xf numFmtId="4" fontId="23" fillId="0" borderId="2" xfId="0" applyNumberFormat="1" applyFont="1" applyBorder="1"/>
    <xf numFmtId="0" fontId="31" fillId="0" borderId="0" xfId="0" applyFont="1"/>
    <xf numFmtId="4" fontId="31" fillId="0" borderId="0" xfId="0" applyNumberFormat="1" applyFont="1"/>
    <xf numFmtId="0" fontId="31" fillId="0" borderId="0" xfId="0" applyFont="1" applyAlignment="1">
      <alignment horizontal="right"/>
    </xf>
    <xf numFmtId="0" fontId="32" fillId="0" borderId="0" xfId="0" applyFont="1" applyAlignment="1">
      <alignment horizontal="left"/>
    </xf>
    <xf numFmtId="0" fontId="33" fillId="0" borderId="0" xfId="0" applyFont="1"/>
    <xf numFmtId="0" fontId="34" fillId="0" borderId="0" xfId="0" applyFont="1"/>
    <xf numFmtId="0" fontId="35" fillId="0" borderId="0" xfId="0" applyFont="1"/>
    <xf numFmtId="0" fontId="28" fillId="0" borderId="3" xfId="0" applyFont="1" applyBorder="1" applyAlignment="1">
      <alignment horizontal="right"/>
    </xf>
    <xf numFmtId="0" fontId="28" fillId="0" borderId="3" xfId="0" applyFont="1" applyBorder="1"/>
    <xf numFmtId="4" fontId="28" fillId="0" borderId="3" xfId="0" applyNumberFormat="1" applyFont="1" applyBorder="1"/>
    <xf numFmtId="0" fontId="28" fillId="0" borderId="0" xfId="0" applyFont="1" applyAlignment="1">
      <alignment horizontal="right"/>
    </xf>
    <xf numFmtId="0" fontId="26" fillId="2" borderId="3" xfId="0" applyFont="1" applyFill="1" applyBorder="1"/>
    <xf numFmtId="0" fontId="14" fillId="2" borderId="3" xfId="0" applyFont="1" applyFill="1" applyBorder="1"/>
    <xf numFmtId="3" fontId="15" fillId="2" borderId="3" xfId="0" applyNumberFormat="1" applyFont="1" applyFill="1" applyBorder="1"/>
    <xf numFmtId="0" fontId="36" fillId="0" borderId="0" xfId="0" applyFont="1" applyAlignment="1">
      <alignment horizontal="left"/>
    </xf>
    <xf numFmtId="0" fontId="36" fillId="0" borderId="0" xfId="0" applyFont="1" applyAlignment="1">
      <alignment horizontal="center"/>
    </xf>
    <xf numFmtId="0" fontId="36" fillId="0" borderId="0" xfId="0" applyFont="1"/>
    <xf numFmtId="0" fontId="14" fillId="0" borderId="1" xfId="0" applyFont="1" applyBorder="1"/>
    <xf numFmtId="3" fontId="15" fillId="0" borderId="1" xfId="0" applyNumberFormat="1" applyFont="1" applyBorder="1"/>
    <xf numFmtId="4" fontId="14" fillId="0" borderId="1" xfId="0" applyNumberFormat="1" applyFont="1" applyBorder="1" applyAlignment="1">
      <alignment horizontal="right"/>
    </xf>
    <xf numFmtId="0" fontId="14" fillId="0" borderId="0" xfId="0" applyFont="1" applyAlignment="1">
      <alignment horizontal="left"/>
    </xf>
    <xf numFmtId="3" fontId="37" fillId="0" borderId="0" xfId="0" applyNumberFormat="1" applyFont="1"/>
    <xf numFmtId="0" fontId="38" fillId="0" borderId="0" xfId="0" applyFont="1"/>
    <xf numFmtId="0" fontId="39" fillId="3" borderId="10" xfId="0" applyFont="1" applyFill="1" applyBorder="1"/>
    <xf numFmtId="0" fontId="39" fillId="3" borderId="1" xfId="0" applyFont="1" applyFill="1" applyBorder="1"/>
    <xf numFmtId="0" fontId="40" fillId="3" borderId="1" xfId="0" applyFont="1" applyFill="1" applyBorder="1"/>
    <xf numFmtId="0" fontId="39" fillId="3" borderId="11" xfId="0" applyFont="1" applyFill="1" applyBorder="1"/>
    <xf numFmtId="0" fontId="41" fillId="2" borderId="10" xfId="0" applyFont="1" applyFill="1" applyBorder="1"/>
    <xf numFmtId="0" fontId="31" fillId="2" borderId="1" xfId="0" applyFont="1" applyFill="1" applyBorder="1"/>
    <xf numFmtId="0" fontId="27" fillId="2" borderId="1" xfId="0" applyFont="1" applyFill="1" applyBorder="1"/>
    <xf numFmtId="0" fontId="41" fillId="0" borderId="13" xfId="0" applyFont="1" applyBorder="1"/>
    <xf numFmtId="0" fontId="31" fillId="2" borderId="14" xfId="0" applyFont="1" applyFill="1" applyBorder="1"/>
    <xf numFmtId="0" fontId="31" fillId="2" borderId="2" xfId="0" applyFont="1" applyFill="1" applyBorder="1"/>
    <xf numFmtId="0" fontId="27" fillId="2" borderId="2" xfId="0" applyFont="1" applyFill="1" applyBorder="1"/>
    <xf numFmtId="0" fontId="27" fillId="2" borderId="10" xfId="0" applyFont="1" applyFill="1" applyBorder="1"/>
    <xf numFmtId="0" fontId="31" fillId="2" borderId="11" xfId="0" applyFont="1" applyFill="1" applyBorder="1"/>
    <xf numFmtId="0" fontId="27" fillId="0" borderId="11" xfId="0" applyFont="1" applyBorder="1"/>
    <xf numFmtId="0" fontId="27" fillId="2" borderId="15" xfId="0" applyFont="1" applyFill="1" applyBorder="1"/>
    <xf numFmtId="0" fontId="31" fillId="2" borderId="3" xfId="0" applyFont="1" applyFill="1" applyBorder="1"/>
    <xf numFmtId="0" fontId="31" fillId="2" borderId="12" xfId="0" applyFont="1" applyFill="1" applyBorder="1"/>
    <xf numFmtId="0" fontId="27" fillId="0" borderId="3" xfId="0" applyFont="1" applyBorder="1"/>
    <xf numFmtId="0" fontId="27" fillId="0" borderId="12" xfId="0" applyFont="1" applyBorder="1"/>
    <xf numFmtId="0" fontId="27" fillId="0" borderId="0" xfId="0" applyFont="1"/>
    <xf numFmtId="0" fontId="41" fillId="3" borderId="0" xfId="0" applyFont="1" applyFill="1"/>
    <xf numFmtId="0" fontId="31" fillId="3" borderId="0" xfId="0" applyFont="1" applyFill="1"/>
    <xf numFmtId="0" fontId="41" fillId="0" borderId="0" xfId="0" applyFont="1"/>
    <xf numFmtId="0" fontId="42" fillId="3" borderId="15" xfId="0" applyFont="1" applyFill="1" applyBorder="1"/>
    <xf numFmtId="0" fontId="31" fillId="3" borderId="3" xfId="0" applyFont="1" applyFill="1" applyBorder="1"/>
    <xf numFmtId="0" fontId="31" fillId="3" borderId="12" xfId="0" applyFont="1" applyFill="1" applyBorder="1"/>
    <xf numFmtId="0" fontId="28" fillId="0" borderId="15" xfId="0" applyFont="1" applyBorder="1"/>
    <xf numFmtId="0" fontId="14" fillId="0" borderId="12" xfId="0" applyFont="1" applyBorder="1"/>
    <xf numFmtId="0" fontId="14" fillId="0" borderId="15" xfId="0" applyFont="1" applyBorder="1"/>
    <xf numFmtId="0" fontId="14" fillId="0" borderId="8" xfId="0" applyFont="1" applyBorder="1"/>
    <xf numFmtId="0" fontId="14" fillId="0" borderId="9" xfId="0" applyFont="1" applyBorder="1"/>
    <xf numFmtId="0" fontId="25" fillId="0" borderId="8" xfId="0" applyFont="1" applyBorder="1"/>
    <xf numFmtId="0" fontId="25" fillId="0" borderId="0" xfId="0" applyFont="1"/>
    <xf numFmtId="0" fontId="25" fillId="0" borderId="9" xfId="0" applyFont="1" applyBorder="1"/>
    <xf numFmtId="0" fontId="14" fillId="0" borderId="14" xfId="0" applyFont="1" applyBorder="1"/>
    <xf numFmtId="0" fontId="14" fillId="0" borderId="16" xfId="0" applyFont="1" applyBorder="1"/>
    <xf numFmtId="0" fontId="25" fillId="0" borderId="14" xfId="0" applyFont="1" applyBorder="1"/>
    <xf numFmtId="0" fontId="25" fillId="0" borderId="2" xfId="0" applyFont="1" applyBorder="1"/>
    <xf numFmtId="0" fontId="25" fillId="0" borderId="16" xfId="0" applyFont="1" applyBorder="1"/>
    <xf numFmtId="0" fontId="43" fillId="0" borderId="0" xfId="0" applyFont="1"/>
    <xf numFmtId="0" fontId="44" fillId="0" borderId="1" xfId="0" applyFont="1" applyBorder="1"/>
    <xf numFmtId="0" fontId="41" fillId="0" borderId="1" xfId="0" applyFont="1" applyBorder="1" applyAlignment="1">
      <alignment horizontal="right"/>
    </xf>
    <xf numFmtId="164" fontId="24" fillId="0" borderId="1" xfId="0" applyNumberFormat="1" applyFont="1" applyBorder="1" applyAlignment="1">
      <alignment horizontal="right"/>
    </xf>
    <xf numFmtId="0" fontId="24" fillId="0" borderId="1" xfId="0" applyFont="1" applyBorder="1" applyAlignment="1">
      <alignment horizontal="right"/>
    </xf>
    <xf numFmtId="0" fontId="41" fillId="0" borderId="1" xfId="0" applyFont="1" applyBorder="1"/>
    <xf numFmtId="0" fontId="44" fillId="0" borderId="0" xfId="0" applyFont="1"/>
    <xf numFmtId="0" fontId="44" fillId="0" borderId="0" xfId="0" applyFont="1" applyAlignment="1">
      <alignment horizontal="right"/>
    </xf>
    <xf numFmtId="4" fontId="9" fillId="0" borderId="0" xfId="1" applyNumberFormat="1" applyBorder="1" applyAlignment="1" applyProtection="1">
      <alignment horizontal="right"/>
    </xf>
    <xf numFmtId="0" fontId="5" fillId="0" borderId="0" xfId="0" applyFont="1" applyBorder="1"/>
    <xf numFmtId="164" fontId="8" fillId="0" borderId="0" xfId="0" applyNumberFormat="1" applyFont="1" applyBorder="1" applyAlignment="1">
      <alignment horizontal="right"/>
    </xf>
    <xf numFmtId="0" fontId="6" fillId="0" borderId="2" xfId="0" applyFont="1" applyBorder="1"/>
    <xf numFmtId="0" fontId="6" fillId="0" borderId="2" xfId="0" applyFont="1" applyBorder="1" applyAlignment="1">
      <alignment horizontal="right"/>
    </xf>
    <xf numFmtId="0" fontId="3" fillId="0" borderId="2" xfId="0" applyFont="1" applyBorder="1"/>
    <xf numFmtId="0" fontId="8" fillId="0" borderId="3" xfId="0" applyFont="1" applyBorder="1" applyAlignmen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66675</xdr:rowOff>
    </xdr:from>
    <xdr:to>
      <xdr:col>2</xdr:col>
      <xdr:colOff>1282700</xdr:colOff>
      <xdr:row>5</xdr:row>
      <xdr:rowOff>127000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FF0C5D-D278-44A1-8A46-6BACB7D71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266700"/>
          <a:ext cx="2978150" cy="1089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323640</xdr:colOff>
      <xdr:row>5</xdr:row>
      <xdr:rowOff>85320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1760" y="200160"/>
          <a:ext cx="1795320" cy="1085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66675</xdr:rowOff>
    </xdr:from>
    <xdr:to>
      <xdr:col>2</xdr:col>
      <xdr:colOff>1625600</xdr:colOff>
      <xdr:row>5</xdr:row>
      <xdr:rowOff>155575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1B561C-49CE-4F7C-9B5D-DF78BDA49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66700"/>
          <a:ext cx="2978150" cy="1089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85680</xdr:rowOff>
    </xdr:from>
    <xdr:to>
      <xdr:col>2</xdr:col>
      <xdr:colOff>304560</xdr:colOff>
      <xdr:row>5</xdr:row>
      <xdr:rowOff>199800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1760" y="285840"/>
          <a:ext cx="1776240" cy="1114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428760</xdr:colOff>
      <xdr:row>46</xdr:row>
      <xdr:rowOff>0</xdr:rowOff>
    </xdr:from>
    <xdr:to>
      <xdr:col>4</xdr:col>
      <xdr:colOff>504720</xdr:colOff>
      <xdr:row>46</xdr:row>
      <xdr:rowOff>37800</xdr:rowOff>
    </xdr:to>
    <xdr:sp macro="" textlink="">
      <xdr:nvSpPr>
        <xdr:cNvPr id="4" name="4 CuadroTexto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163560" y="10782360"/>
          <a:ext cx="75960" cy="37800"/>
        </a:xfrm>
        <a:prstGeom prst="rect">
          <a:avLst/>
        </a:prstGeom>
        <a:solidFill>
          <a:srgbClr val="FFFFFF"/>
        </a:solidFill>
        <a:ln w="9360" cap="sq">
          <a:solidFill>
            <a:srgbClr val="BCBCBC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1723680</xdr:colOff>
      <xdr:row>4</xdr:row>
      <xdr:rowOff>85320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1760" y="0"/>
          <a:ext cx="1723680" cy="1085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256680</xdr:colOff>
      <xdr:row>5</xdr:row>
      <xdr:rowOff>151920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868400" cy="1104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923760</xdr:colOff>
      <xdr:row>15</xdr:row>
      <xdr:rowOff>9360</xdr:rowOff>
    </xdr:from>
    <xdr:to>
      <xdr:col>3</xdr:col>
      <xdr:colOff>923400</xdr:colOff>
      <xdr:row>24</xdr:row>
      <xdr:rowOff>9000</xdr:rowOff>
    </xdr:to>
    <xdr:pic>
      <xdr:nvPicPr>
        <xdr:cNvPr id="7" name="Imagen 2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6920" y="4257360"/>
          <a:ext cx="4757040" cy="1714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suelosderesina@gmail.com" TargetMode="External"/><Relationship Id="rId1" Type="http://schemas.openxmlformats.org/officeDocument/2006/relationships/hyperlink" Target="mailto:hola@nchemicals.e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mailto:suelosderesina@gmail.com" TargetMode="External"/><Relationship Id="rId1" Type="http://schemas.openxmlformats.org/officeDocument/2006/relationships/hyperlink" Target="mailto:hola@nchemicals.e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mailto:suelosderesina@gmail.com" TargetMode="External"/><Relationship Id="rId1" Type="http://schemas.openxmlformats.org/officeDocument/2006/relationships/hyperlink" Target="mailto:hola@nchemicals.es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mailto:suelosderesina@gmail.com" TargetMode="External"/><Relationship Id="rId1" Type="http://schemas.openxmlformats.org/officeDocument/2006/relationships/hyperlink" Target="mailto:hola@nchemicals.e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hyperlink" Target="mailto:suelosderesina@gmail.com" TargetMode="External"/><Relationship Id="rId1" Type="http://schemas.openxmlformats.org/officeDocument/2006/relationships/hyperlink" Target="mailto:hola@nchemicals.e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AMJ64"/>
  <sheetViews>
    <sheetView tabSelected="1" zoomScaleNormal="100" workbookViewId="0">
      <selection activeCell="I12" sqref="I12"/>
    </sheetView>
  </sheetViews>
  <sheetFormatPr baseColWidth="10" defaultColWidth="11.42578125" defaultRowHeight="15.75" x14ac:dyDescent="0.25"/>
  <cols>
    <col min="1" max="1" width="3.140625" style="1" customWidth="1"/>
    <col min="2" max="2" width="26.140625" style="1" customWidth="1"/>
    <col min="3" max="3" width="56.140625" style="1" customWidth="1"/>
    <col min="4" max="4" width="10.85546875" style="1" customWidth="1"/>
    <col min="5" max="5" width="23.5703125" style="2" customWidth="1"/>
    <col min="6" max="6" width="13" style="2" customWidth="1"/>
    <col min="7" max="7" width="6.85546875" style="1" customWidth="1"/>
    <col min="8" max="1024" width="11.42578125" style="1"/>
  </cols>
  <sheetData>
    <row r="4" spans="2:10" ht="26.25" x14ac:dyDescent="0.4">
      <c r="D4" s="3" t="s">
        <v>0</v>
      </c>
    </row>
    <row r="5" spans="2:10" ht="23.25" x14ac:dyDescent="0.35">
      <c r="D5" s="4" t="s">
        <v>1</v>
      </c>
      <c r="E5" s="5"/>
    </row>
    <row r="6" spans="2:10" ht="21" x14ac:dyDescent="0.35">
      <c r="D6" s="4" t="s">
        <v>115</v>
      </c>
    </row>
    <row r="8" spans="2:10" ht="23.25" x14ac:dyDescent="0.35">
      <c r="B8" s="6" t="s">
        <v>2</v>
      </c>
      <c r="C8" s="204"/>
      <c r="D8" s="50"/>
      <c r="E8" s="52"/>
    </row>
    <row r="9" spans="2:10" ht="18.75" x14ac:dyDescent="0.3">
      <c r="B9" s="7" t="s">
        <v>3</v>
      </c>
      <c r="C9" s="202"/>
      <c r="D9" s="14" t="s">
        <v>4</v>
      </c>
      <c r="E9" s="203"/>
      <c r="F9" s="9"/>
      <c r="J9" s="10"/>
    </row>
    <row r="10" spans="2:10" ht="18.75" x14ac:dyDescent="0.3">
      <c r="B10" s="7" t="s">
        <v>5</v>
      </c>
      <c r="C10" s="8"/>
      <c r="D10" s="200" t="s">
        <v>6</v>
      </c>
      <c r="E10" s="201"/>
      <c r="F10" s="9"/>
      <c r="J10" s="10"/>
    </row>
    <row r="11" spans="2:10" ht="18.75" x14ac:dyDescent="0.3">
      <c r="B11" s="7" t="s">
        <v>7</v>
      </c>
      <c r="C11" s="11"/>
      <c r="D11" s="7" t="s">
        <v>8</v>
      </c>
      <c r="E11" s="12"/>
      <c r="F11" s="9"/>
      <c r="J11" s="10"/>
    </row>
    <row r="12" spans="2:10" ht="18.75" x14ac:dyDescent="0.3">
      <c r="B12" s="7" t="s">
        <v>9</v>
      </c>
      <c r="C12" s="11"/>
      <c r="D12" s="7" t="s">
        <v>10</v>
      </c>
      <c r="E12" s="205"/>
      <c r="F12" s="9"/>
      <c r="J12" s="10"/>
    </row>
    <row r="13" spans="2:10" ht="18.75" x14ac:dyDescent="0.3">
      <c r="B13" s="7" t="s">
        <v>11</v>
      </c>
      <c r="C13" s="7"/>
      <c r="D13" s="7" t="s">
        <v>12</v>
      </c>
      <c r="E13" s="13"/>
      <c r="F13" s="9"/>
    </row>
    <row r="14" spans="2:10" ht="18.75" x14ac:dyDescent="0.3">
      <c r="B14" s="14"/>
      <c r="C14" s="14"/>
      <c r="D14" s="14"/>
      <c r="E14" s="15"/>
      <c r="F14" s="15"/>
    </row>
    <row r="15" spans="2:10" ht="23.25" x14ac:dyDescent="0.35">
      <c r="B15" s="6" t="s">
        <v>13</v>
      </c>
    </row>
    <row r="16" spans="2:10" x14ac:dyDescent="0.25">
      <c r="B16" s="16" t="s">
        <v>14</v>
      </c>
    </row>
    <row r="17" spans="1:8" s="17" customFormat="1" ht="21" x14ac:dyDescent="0.35">
      <c r="B17" s="18" t="s">
        <v>15</v>
      </c>
      <c r="C17" s="18"/>
      <c r="D17" s="19" t="s">
        <v>16</v>
      </c>
      <c r="E17" s="20" t="s">
        <v>17</v>
      </c>
      <c r="F17" s="20" t="s">
        <v>18</v>
      </c>
    </row>
    <row r="18" spans="1:8" x14ac:dyDescent="0.25">
      <c r="B18" s="21"/>
      <c r="C18" s="21"/>
      <c r="D18" s="22"/>
      <c r="E18" s="23"/>
      <c r="F18" s="24" t="str">
        <f>IF(D18&lt;&gt;"",D18*E18,"")</f>
        <v/>
      </c>
    </row>
    <row r="19" spans="1:8" x14ac:dyDescent="0.25">
      <c r="B19" s="25"/>
      <c r="C19" s="26"/>
      <c r="D19" s="27"/>
      <c r="E19" s="28"/>
      <c r="F19" s="28"/>
    </row>
    <row r="20" spans="1:8" x14ac:dyDescent="0.25">
      <c r="B20" s="26"/>
      <c r="C20" s="26"/>
      <c r="D20" s="27"/>
      <c r="E20" s="28"/>
      <c r="F20" s="28"/>
    </row>
    <row r="21" spans="1:8" x14ac:dyDescent="0.25">
      <c r="A21" s="26"/>
      <c r="B21" s="26"/>
      <c r="C21" s="27"/>
      <c r="D21" s="28"/>
      <c r="E21" s="28"/>
      <c r="F21" s="28"/>
    </row>
    <row r="22" spans="1:8" x14ac:dyDescent="0.25">
      <c r="A22" s="26"/>
      <c r="B22" s="25"/>
      <c r="C22" s="27"/>
      <c r="D22" s="28"/>
      <c r="E22" s="28"/>
      <c r="F22" s="28"/>
      <c r="H22" s="29"/>
    </row>
    <row r="23" spans="1:8" x14ac:dyDescent="0.25">
      <c r="B23" s="26"/>
      <c r="C23" s="26"/>
      <c r="D23" s="27"/>
      <c r="E23" s="28"/>
      <c r="F23" s="28"/>
    </row>
    <row r="24" spans="1:8" x14ac:dyDescent="0.25">
      <c r="B24" s="26"/>
      <c r="C24" s="26"/>
      <c r="D24" s="27"/>
      <c r="E24" s="28"/>
      <c r="F24" s="28"/>
    </row>
    <row r="25" spans="1:8" x14ac:dyDescent="0.25">
      <c r="B25" s="25"/>
      <c r="C25" s="26"/>
      <c r="D25" s="27"/>
      <c r="E25" s="28"/>
      <c r="F25" s="28"/>
    </row>
    <row r="26" spans="1:8" x14ac:dyDescent="0.25">
      <c r="B26" s="26"/>
      <c r="C26" s="26"/>
      <c r="D26" s="27"/>
      <c r="E26" s="28"/>
      <c r="F26" s="28"/>
    </row>
    <row r="27" spans="1:8" x14ac:dyDescent="0.25">
      <c r="B27" s="26"/>
      <c r="C27" s="26"/>
      <c r="D27" s="27"/>
      <c r="E27" s="28"/>
      <c r="F27" s="28"/>
    </row>
    <row r="28" spans="1:8" x14ac:dyDescent="0.25">
      <c r="B28" s="25"/>
      <c r="C28" s="26"/>
      <c r="D28" s="27"/>
      <c r="E28" s="28"/>
      <c r="F28" s="28"/>
    </row>
    <row r="29" spans="1:8" x14ac:dyDescent="0.25">
      <c r="B29" s="26"/>
      <c r="C29" s="26"/>
      <c r="D29" s="27"/>
      <c r="E29" s="28"/>
      <c r="F29" s="28"/>
    </row>
    <row r="30" spans="1:8" x14ac:dyDescent="0.25">
      <c r="B30" s="26"/>
      <c r="C30" s="26"/>
      <c r="D30" s="30"/>
      <c r="E30" s="28"/>
      <c r="F30" s="28"/>
    </row>
    <row r="31" spans="1:8" x14ac:dyDescent="0.25">
      <c r="B31" s="26"/>
      <c r="C31" s="26"/>
      <c r="D31" s="27"/>
      <c r="E31" s="28"/>
      <c r="F31" s="28"/>
    </row>
    <row r="32" spans="1:8" x14ac:dyDescent="0.25">
      <c r="B32" s="26"/>
      <c r="C32" s="26"/>
      <c r="D32" s="27"/>
      <c r="E32" s="28"/>
      <c r="F32" s="28"/>
    </row>
    <row r="33" spans="2:9" x14ac:dyDescent="0.25">
      <c r="B33" s="26"/>
      <c r="C33" s="26"/>
      <c r="D33" s="27"/>
      <c r="E33" s="28"/>
      <c r="F33" s="28"/>
    </row>
    <row r="34" spans="2:9" x14ac:dyDescent="0.25">
      <c r="B34" s="26"/>
      <c r="C34" s="26"/>
      <c r="D34" s="27"/>
      <c r="E34" s="28"/>
      <c r="F34" s="28"/>
    </row>
    <row r="35" spans="2:9" x14ac:dyDescent="0.25">
      <c r="B35" s="26"/>
      <c r="C35" s="26"/>
      <c r="D35" s="27"/>
      <c r="E35" s="28"/>
      <c r="F35" s="28"/>
    </row>
    <row r="36" spans="2:9" x14ac:dyDescent="0.25">
      <c r="B36" s="26"/>
      <c r="C36" s="26"/>
      <c r="D36" s="27"/>
      <c r="E36" s="28"/>
      <c r="F36" s="28" t="str">
        <f t="shared" ref="F36:F41" si="0">IF(D36&lt;&gt;"",D36*E36,"")</f>
        <v/>
      </c>
    </row>
    <row r="37" spans="2:9" x14ac:dyDescent="0.25">
      <c r="B37" s="26"/>
      <c r="C37" s="26"/>
      <c r="D37" s="27"/>
      <c r="E37" s="28"/>
      <c r="F37" s="28" t="str">
        <f t="shared" si="0"/>
        <v/>
      </c>
    </row>
    <row r="38" spans="2:9" x14ac:dyDescent="0.25">
      <c r="B38" s="26"/>
      <c r="C38" s="26"/>
      <c r="D38" s="27"/>
      <c r="E38" s="28"/>
      <c r="F38" s="28" t="str">
        <f t="shared" si="0"/>
        <v/>
      </c>
    </row>
    <row r="39" spans="2:9" x14ac:dyDescent="0.25">
      <c r="B39" s="26"/>
      <c r="C39" s="26"/>
      <c r="D39" s="27"/>
      <c r="E39" s="28"/>
      <c r="F39" s="28" t="str">
        <f t="shared" si="0"/>
        <v/>
      </c>
    </row>
    <row r="40" spans="2:9" ht="15" customHeight="1" x14ac:dyDescent="0.25">
      <c r="B40" s="26"/>
      <c r="C40" s="26"/>
      <c r="D40" s="27"/>
      <c r="E40" s="28"/>
      <c r="F40" s="28" t="str">
        <f t="shared" si="0"/>
        <v/>
      </c>
      <c r="I40" s="29"/>
    </row>
    <row r="41" spans="2:9" x14ac:dyDescent="0.25">
      <c r="B41" s="26"/>
      <c r="C41" s="26"/>
      <c r="D41" s="27"/>
      <c r="E41" s="28"/>
      <c r="F41" s="28" t="str">
        <f t="shared" si="0"/>
        <v/>
      </c>
    </row>
    <row r="42" spans="2:9" ht="18.75" x14ac:dyDescent="0.3">
      <c r="B42" s="11" t="s">
        <v>19</v>
      </c>
      <c r="C42" s="11"/>
      <c r="D42" s="31"/>
      <c r="E42" s="32"/>
      <c r="F42" s="32">
        <f>SUM(F18:F41)</f>
        <v>0</v>
      </c>
    </row>
    <row r="43" spans="2:9" ht="18.75" x14ac:dyDescent="0.3">
      <c r="B43" s="33" t="s">
        <v>20</v>
      </c>
      <c r="C43" s="34" t="s">
        <v>21</v>
      </c>
      <c r="D43" s="35">
        <v>50</v>
      </c>
      <c r="E43" s="36"/>
      <c r="F43" s="37">
        <f>F42*(D43/100)*(-1)</f>
        <v>0</v>
      </c>
    </row>
    <row r="44" spans="2:9" ht="18.75" x14ac:dyDescent="0.3">
      <c r="B44" s="38" t="s">
        <v>22</v>
      </c>
      <c r="C44" s="38"/>
      <c r="D44" s="38"/>
      <c r="E44" s="39"/>
      <c r="F44" s="39">
        <f>SUM(F42:F43)</f>
        <v>0</v>
      </c>
    </row>
    <row r="45" spans="2:9" ht="18.75" x14ac:dyDescent="0.3">
      <c r="B45" s="40" t="s">
        <v>23</v>
      </c>
      <c r="C45" s="41" t="s">
        <v>24</v>
      </c>
      <c r="D45" s="40">
        <v>1</v>
      </c>
      <c r="E45" s="42">
        <v>17</v>
      </c>
      <c r="F45" s="42">
        <f>D45*E45</f>
        <v>17</v>
      </c>
    </row>
    <row r="46" spans="2:9" ht="18.75" x14ac:dyDescent="0.3">
      <c r="B46" s="40" t="s">
        <v>25</v>
      </c>
      <c r="C46" s="40"/>
      <c r="D46" s="40"/>
      <c r="E46" s="42"/>
      <c r="F46" s="42" t="str">
        <f>IF(D46&lt;&gt;"",(D46*E46),"")</f>
        <v/>
      </c>
    </row>
    <row r="47" spans="2:9" ht="18.75" x14ac:dyDescent="0.3">
      <c r="B47" s="33" t="s">
        <v>26</v>
      </c>
      <c r="C47" s="33"/>
      <c r="D47" s="33"/>
      <c r="E47" s="36"/>
      <c r="F47" s="36" t="str">
        <f>IF(D47&lt;&gt;"",(D47*E47),"")</f>
        <v/>
      </c>
    </row>
    <row r="48" spans="2:9" ht="18.75" x14ac:dyDescent="0.3">
      <c r="B48" s="38" t="s">
        <v>27</v>
      </c>
      <c r="C48" s="38"/>
      <c r="D48" s="38"/>
      <c r="E48" s="39"/>
      <c r="F48" s="39">
        <f>SUM(F44:F47)</f>
        <v>17</v>
      </c>
    </row>
    <row r="49" spans="2:6" ht="18.75" x14ac:dyDescent="0.3">
      <c r="B49" s="40" t="s">
        <v>28</v>
      </c>
      <c r="C49" s="40"/>
      <c r="D49" s="40"/>
      <c r="E49" s="42"/>
      <c r="F49" s="42">
        <f>F48*0.21</f>
        <v>3.57</v>
      </c>
    </row>
    <row r="50" spans="2:6" s="43" customFormat="1" ht="21" x14ac:dyDescent="0.35">
      <c r="B50" s="44" t="s">
        <v>29</v>
      </c>
      <c r="C50" s="44"/>
      <c r="D50" s="44"/>
      <c r="E50" s="45"/>
      <c r="F50" s="45">
        <f>SUM(F48:F49)</f>
        <v>20.57</v>
      </c>
    </row>
    <row r="51" spans="2:6" ht="12" customHeight="1" x14ac:dyDescent="0.25"/>
    <row r="52" spans="2:6" ht="12" customHeight="1" x14ac:dyDescent="0.25"/>
    <row r="53" spans="2:6" ht="23.25" x14ac:dyDescent="0.35">
      <c r="B53" s="6" t="s">
        <v>30</v>
      </c>
    </row>
    <row r="54" spans="2:6" ht="12" customHeight="1" x14ac:dyDescent="0.25"/>
    <row r="55" spans="2:6" x14ac:dyDescent="0.25">
      <c r="B55" s="46" t="s">
        <v>31</v>
      </c>
      <c r="C55" s="46" t="s">
        <v>32</v>
      </c>
      <c r="D55" s="46"/>
      <c r="E55" s="47"/>
      <c r="F55" s="47"/>
    </row>
    <row r="56" spans="2:6" x14ac:dyDescent="0.25">
      <c r="B56" s="46" t="s">
        <v>33</v>
      </c>
      <c r="C56" s="48" t="s">
        <v>34</v>
      </c>
      <c r="D56" s="48"/>
      <c r="E56" s="49"/>
      <c r="F56" s="47"/>
    </row>
    <row r="57" spans="2:6" x14ac:dyDescent="0.25">
      <c r="B57" s="46" t="s">
        <v>35</v>
      </c>
      <c r="C57" s="46" t="s">
        <v>36</v>
      </c>
      <c r="D57" s="46"/>
      <c r="E57" s="47"/>
      <c r="F57" s="47"/>
    </row>
    <row r="58" spans="2:6" x14ac:dyDescent="0.25">
      <c r="B58" s="50" t="s">
        <v>37</v>
      </c>
      <c r="C58" s="51"/>
      <c r="D58" s="50"/>
      <c r="E58" s="52"/>
      <c r="F58" s="52"/>
    </row>
    <row r="59" spans="2:6" ht="12" customHeight="1" x14ac:dyDescent="0.25"/>
    <row r="60" spans="2:6" ht="18.75" x14ac:dyDescent="0.3">
      <c r="B60" s="40" t="s">
        <v>38</v>
      </c>
    </row>
    <row r="61" spans="2:6" ht="12" customHeight="1" x14ac:dyDescent="0.25">
      <c r="B61" s="1" t="s">
        <v>39</v>
      </c>
      <c r="E61" s="53"/>
      <c r="F61" s="54" t="s">
        <v>40</v>
      </c>
    </row>
    <row r="62" spans="2:6" ht="12.75" customHeight="1" x14ac:dyDescent="0.25">
      <c r="B62" s="1" t="s">
        <v>41</v>
      </c>
      <c r="E62" s="53"/>
      <c r="F62" s="54" t="s">
        <v>43</v>
      </c>
    </row>
    <row r="63" spans="2:6" ht="13.5" customHeight="1" x14ac:dyDescent="0.25">
      <c r="B63" s="1" t="s">
        <v>42</v>
      </c>
      <c r="F63" s="199" t="s">
        <v>44</v>
      </c>
    </row>
    <row r="64" spans="2:6" x14ac:dyDescent="0.25">
      <c r="F64" s="1"/>
    </row>
  </sheetData>
  <hyperlinks>
    <hyperlink ref="F62" r:id="rId1" xr:uid="{00000000-0004-0000-0000-000001000000}"/>
    <hyperlink ref="F63" r:id="rId2" xr:uid="{00000000-0004-0000-0000-000002000000}"/>
  </hyperlinks>
  <pageMargins left="0.70833333333333304" right="0.70833333333333304" top="0.74791666666666701" bottom="0.74791666666666701" header="0.511811023622047" footer="0.511811023622047"/>
  <pageSetup paperSize="9" orientation="portrait" horizontalDpi="300" verticalDpi="30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AMJ67"/>
  <sheetViews>
    <sheetView zoomScale="80" zoomScaleNormal="80" workbookViewId="0">
      <selection activeCell="D25" sqref="D25"/>
    </sheetView>
  </sheetViews>
  <sheetFormatPr baseColWidth="10" defaultColWidth="11.42578125" defaultRowHeight="15.75" x14ac:dyDescent="0.25"/>
  <cols>
    <col min="1" max="1" width="3.140625" style="1" customWidth="1"/>
    <col min="2" max="2" width="20.85546875" style="1" customWidth="1"/>
    <col min="3" max="3" width="37.140625" style="1" customWidth="1"/>
    <col min="4" max="4" width="10.85546875" style="1" customWidth="1"/>
    <col min="5" max="5" width="23.5703125" style="2" customWidth="1"/>
    <col min="6" max="6" width="13" style="2" customWidth="1"/>
    <col min="7" max="7" width="6.85546875" style="1" customWidth="1"/>
    <col min="8" max="9" width="11.42578125" style="1"/>
    <col min="10" max="10" width="18.42578125" style="1" customWidth="1"/>
    <col min="11" max="11" width="31.5703125" style="1" customWidth="1"/>
    <col min="12" max="12" width="12.5703125" style="1" customWidth="1"/>
    <col min="13" max="13" width="20.42578125" style="1" customWidth="1"/>
    <col min="14" max="1024" width="11.42578125" style="1"/>
  </cols>
  <sheetData>
    <row r="4" spans="2:14" ht="26.25" x14ac:dyDescent="0.4">
      <c r="E4" s="3" t="s">
        <v>45</v>
      </c>
    </row>
    <row r="5" spans="2:14" ht="21" x14ac:dyDescent="0.35">
      <c r="E5" s="4" t="str">
        <f>proforma!D5</f>
        <v>PROFORMA: 291225462RNM</v>
      </c>
    </row>
    <row r="6" spans="2:14" ht="21" x14ac:dyDescent="0.35">
      <c r="E6" s="4" t="str">
        <f>proforma!D6</f>
        <v>FECHA:26/12/2025</v>
      </c>
    </row>
    <row r="7" spans="2:14" x14ac:dyDescent="0.25">
      <c r="J7" s="57" t="s">
        <v>46</v>
      </c>
      <c r="K7" s="58"/>
      <c r="L7" s="58"/>
      <c r="M7" s="58"/>
      <c r="N7" s="59"/>
    </row>
    <row r="8" spans="2:14" ht="23.25" x14ac:dyDescent="0.35">
      <c r="B8" s="6" t="s">
        <v>2</v>
      </c>
      <c r="C8" s="4"/>
      <c r="J8" s="60" t="s">
        <v>47</v>
      </c>
      <c r="K8" s="61"/>
      <c r="M8" s="2"/>
      <c r="N8" s="62"/>
    </row>
    <row r="9" spans="2:14" ht="18.75" x14ac:dyDescent="0.3">
      <c r="B9" s="7" t="s">
        <v>3</v>
      </c>
      <c r="C9" s="7" t="str">
        <f>IF(proforma!C9&lt;&gt;"",(proforma!C9),"")</f>
        <v/>
      </c>
      <c r="D9" s="7" t="s">
        <v>4</v>
      </c>
      <c r="E9" s="63" t="str">
        <f>IF(proforma!E9&lt;&gt;"",(proforma!E9),"")</f>
        <v/>
      </c>
      <c r="F9" s="9"/>
      <c r="J9" s="64" t="s">
        <v>3</v>
      </c>
      <c r="K9" s="65" t="str">
        <f>IF(proforma!C9&lt;&gt;"",(proforma!C9),"")</f>
        <v/>
      </c>
      <c r="L9" s="7" t="s">
        <v>4</v>
      </c>
      <c r="M9" s="63" t="str">
        <f>IF(proforma!E9&lt;&gt;"",(proforma!E9),"")</f>
        <v/>
      </c>
      <c r="N9" s="66"/>
    </row>
    <row r="10" spans="2:14" ht="18.75" x14ac:dyDescent="0.3">
      <c r="B10" s="7" t="s">
        <v>5</v>
      </c>
      <c r="C10" s="7" t="str">
        <f>IF(proforma!C10&lt;&gt;"",(proforma!C10),"")</f>
        <v/>
      </c>
      <c r="D10" s="7" t="s">
        <v>6</v>
      </c>
      <c r="E10" s="67" t="str">
        <f>IF(proforma!E10&lt;&gt;"",(proforma!E10),"")</f>
        <v/>
      </c>
      <c r="F10" s="9"/>
      <c r="J10" s="64" t="s">
        <v>3</v>
      </c>
      <c r="K10" s="65" t="str">
        <f>IF(proforma!C10&lt;&gt;"",(proforma!C10),"")</f>
        <v/>
      </c>
      <c r="L10" s="7" t="s">
        <v>6</v>
      </c>
      <c r="M10" s="67" t="str">
        <f>IF(proforma!E10&lt;&gt;"",(proforma!E10),"")</f>
        <v/>
      </c>
      <c r="N10" s="66"/>
    </row>
    <row r="11" spans="2:14" ht="18.75" x14ac:dyDescent="0.3">
      <c r="B11" s="7" t="s">
        <v>7</v>
      </c>
      <c r="C11" s="7" t="str">
        <f>IF(proforma!C11&lt;&gt;"",(proforma!C11),"")</f>
        <v/>
      </c>
      <c r="D11" s="7" t="s">
        <v>8</v>
      </c>
      <c r="E11" s="7" t="str">
        <f>IF(proforma!E11&lt;&gt;"",(proforma!E11),"")</f>
        <v/>
      </c>
      <c r="F11" s="9"/>
      <c r="J11" s="64" t="s">
        <v>3</v>
      </c>
      <c r="K11" s="65" t="str">
        <f>IF(proforma!C11&lt;&gt;"",(proforma!C11),"")</f>
        <v/>
      </c>
      <c r="L11" s="7" t="s">
        <v>8</v>
      </c>
      <c r="M11" s="63" t="str">
        <f>IF(proforma!E11&lt;&gt;"",(proforma!E11),"")</f>
        <v/>
      </c>
      <c r="N11" s="66"/>
    </row>
    <row r="12" spans="2:14" ht="18.75" x14ac:dyDescent="0.3">
      <c r="B12" s="7" t="s">
        <v>9</v>
      </c>
      <c r="C12" s="7" t="str">
        <f>IF(proforma!C12&lt;&gt;"",(proforma!C12),"")</f>
        <v/>
      </c>
      <c r="D12" s="7" t="s">
        <v>10</v>
      </c>
      <c r="E12" s="63" t="str">
        <f>IF(proforma!E12&lt;&gt;"",(proforma!E12),"")</f>
        <v/>
      </c>
      <c r="F12" s="9"/>
      <c r="J12" s="64" t="s">
        <v>3</v>
      </c>
      <c r="K12" s="65" t="str">
        <f>IF(proforma!C12&lt;&gt;"",(proforma!C12),"")</f>
        <v/>
      </c>
      <c r="L12" s="7" t="s">
        <v>10</v>
      </c>
      <c r="M12" s="63" t="str">
        <f>IF(proforma!E12&lt;&gt;"",(proforma!E12),"")</f>
        <v/>
      </c>
      <c r="N12" s="66"/>
    </row>
    <row r="13" spans="2:14" ht="18.75" x14ac:dyDescent="0.3">
      <c r="B13" s="7" t="s">
        <v>11</v>
      </c>
      <c r="C13" s="7" t="str">
        <f>IF(proforma!C13&lt;&gt;"",(proforma!C13),"")</f>
        <v/>
      </c>
      <c r="D13" s="7" t="s">
        <v>12</v>
      </c>
      <c r="E13" s="68" t="str">
        <f>IF(proforma!E13&lt;&gt;"",(proforma!E13),"")</f>
        <v/>
      </c>
      <c r="F13" s="9"/>
      <c r="J13" s="64" t="s">
        <v>3</v>
      </c>
      <c r="K13" s="65" t="str">
        <f>IF(proforma!C13&lt;&gt;"",(proforma!C13),"")</f>
        <v/>
      </c>
      <c r="L13" s="69" t="s">
        <v>12</v>
      </c>
      <c r="M13" s="70" t="str">
        <f>IF(proforma!E13&lt;&gt;"",(proforma!E13),"")</f>
        <v/>
      </c>
      <c r="N13" s="71"/>
    </row>
    <row r="14" spans="2:14" ht="18.75" x14ac:dyDescent="0.3">
      <c r="B14" s="14"/>
      <c r="C14" s="14"/>
      <c r="D14" s="14"/>
      <c r="E14" s="72" t="str">
        <f>IF(proforma!E14&lt;&gt;"",(proforma!E14),"")</f>
        <v/>
      </c>
      <c r="F14" s="15"/>
      <c r="J14" s="64" t="s">
        <v>3</v>
      </c>
      <c r="K14" s="73"/>
      <c r="L14" s="74"/>
      <c r="M14" s="74"/>
      <c r="N14" s="74"/>
    </row>
    <row r="15" spans="2:14" ht="23.25" x14ac:dyDescent="0.35">
      <c r="B15" s="6" t="s">
        <v>13</v>
      </c>
      <c r="E15" s="75"/>
      <c r="J15" s="64" t="s">
        <v>48</v>
      </c>
      <c r="K15" s="76"/>
    </row>
    <row r="16" spans="2:14" ht="18.75" x14ac:dyDescent="0.3">
      <c r="J16" s="64" t="s">
        <v>49</v>
      </c>
      <c r="K16" s="76"/>
    </row>
    <row r="17" spans="2:11" s="17" customFormat="1" ht="21" x14ac:dyDescent="0.35">
      <c r="B17" s="18" t="s">
        <v>15</v>
      </c>
      <c r="C17" s="18"/>
      <c r="D17" s="19" t="s">
        <v>16</v>
      </c>
      <c r="E17" s="20" t="s">
        <v>17</v>
      </c>
      <c r="F17" s="20" t="s">
        <v>18</v>
      </c>
      <c r="J17" s="64" t="s">
        <v>50</v>
      </c>
      <c r="K17" s="77"/>
    </row>
    <row r="18" spans="2:11" ht="18.75" x14ac:dyDescent="0.3">
      <c r="B18" s="21"/>
      <c r="C18" s="21"/>
      <c r="D18" s="22"/>
      <c r="E18" s="23"/>
      <c r="F18" s="24" t="str">
        <f>IF(D18&lt;&gt;"",D18*E18,"")</f>
        <v/>
      </c>
      <c r="J18" s="64" t="s">
        <v>3</v>
      </c>
      <c r="K18" s="76"/>
    </row>
    <row r="19" spans="2:11" ht="18.75" x14ac:dyDescent="0.3">
      <c r="B19" s="26" t="str">
        <f>IF(proforma!B19&lt;&gt;"",(proforma!B19),"")</f>
        <v/>
      </c>
      <c r="C19" s="26" t="str">
        <f>IF(proforma!C19&lt;&gt;"",(proforma!C19),"")</f>
        <v/>
      </c>
      <c r="D19" s="27" t="str">
        <f>IF(proforma!D17&lt;&gt;"",(proforma!D17),"")</f>
        <v>Cant.Unit</v>
      </c>
      <c r="E19" s="28" t="str">
        <f>IF(proforma!E17&lt;&gt;"",(proforma!E17),"")</f>
        <v>Precio €/U</v>
      </c>
      <c r="F19" s="28"/>
      <c r="J19" s="77" t="s">
        <v>51</v>
      </c>
      <c r="K19" s="78" t="s">
        <v>52</v>
      </c>
    </row>
    <row r="20" spans="2:11" x14ac:dyDescent="0.25">
      <c r="B20" s="26" t="str">
        <f>IF(proforma!B20&lt;&gt;"",(proforma!B20),"")</f>
        <v/>
      </c>
      <c r="C20" s="26" t="str">
        <f>IF(proforma!C20&lt;&gt;"",(proforma!C20),"")</f>
        <v/>
      </c>
      <c r="D20" s="27" t="str">
        <f>IF(proforma!D20&lt;&gt;"",(proforma!D20),"")</f>
        <v/>
      </c>
      <c r="E20" s="28"/>
      <c r="F20" s="28"/>
    </row>
    <row r="21" spans="2:11" x14ac:dyDescent="0.25">
      <c r="B21" s="26" t="str">
        <f>IF(proforma!B21&lt;&gt;"",(proforma!B21),"")</f>
        <v/>
      </c>
      <c r="C21" s="26" t="str">
        <f>IF(proforma!C21&lt;&gt;"",(proforma!C21),"")</f>
        <v/>
      </c>
      <c r="D21" s="27" t="str">
        <f>IF(proforma!D21&lt;&gt;"",(proforma!D21),"")</f>
        <v/>
      </c>
      <c r="E21" s="28"/>
      <c r="F21" s="28"/>
    </row>
    <row r="22" spans="2:11" x14ac:dyDescent="0.25">
      <c r="B22" s="26" t="str">
        <f>IF(proforma!B22&lt;&gt;"",(proforma!B22),"")</f>
        <v/>
      </c>
      <c r="C22" s="26" t="str">
        <f>IF(proforma!C22&lt;&gt;"",(proforma!C22),"")</f>
        <v/>
      </c>
      <c r="D22" s="27" t="str">
        <f>IF(proforma!D22&lt;&gt;"",(proforma!D22),"")</f>
        <v/>
      </c>
      <c r="E22" s="28"/>
      <c r="F22" s="28"/>
    </row>
    <row r="23" spans="2:11" x14ac:dyDescent="0.25">
      <c r="B23" s="26" t="str">
        <f>IF(proforma!B23&lt;&gt;"",(proforma!B23),"")</f>
        <v/>
      </c>
      <c r="C23" s="26" t="str">
        <f>IF(proforma!C23&lt;&gt;"",(proforma!C23),"")</f>
        <v/>
      </c>
      <c r="D23" s="27" t="str">
        <f>IF(proforma!D23&lt;&gt;"",(proforma!D23),"")</f>
        <v/>
      </c>
      <c r="E23" s="28"/>
      <c r="F23" s="28"/>
    </row>
    <row r="24" spans="2:11" x14ac:dyDescent="0.25">
      <c r="B24" s="26" t="str">
        <f>IF(proforma!B24&lt;&gt;"",(proforma!B24),"")</f>
        <v/>
      </c>
      <c r="C24" s="26" t="str">
        <f>IF(proforma!C24&lt;&gt;"",(proforma!C24),"")</f>
        <v/>
      </c>
      <c r="D24" s="27" t="str">
        <f>IF(proforma!D24&lt;&gt;"",(proforma!D24),"")</f>
        <v/>
      </c>
      <c r="E24" s="28"/>
      <c r="F24" s="28"/>
    </row>
    <row r="25" spans="2:11" x14ac:dyDescent="0.25">
      <c r="B25" s="26" t="str">
        <f>IF(proforma!B25&lt;&gt;"",(proforma!B25),"")</f>
        <v/>
      </c>
      <c r="C25" s="26" t="str">
        <f>IF(proforma!C25&lt;&gt;"",(proforma!C25),"")</f>
        <v/>
      </c>
      <c r="D25" s="27" t="str">
        <f>IF(proforma!D25&lt;&gt;"",(proforma!D25),"")</f>
        <v/>
      </c>
      <c r="E25" s="28"/>
      <c r="F25" s="28"/>
    </row>
    <row r="26" spans="2:11" x14ac:dyDescent="0.25">
      <c r="B26" s="26" t="str">
        <f>IF(proforma!B26&lt;&gt;"",(proforma!B26),"")</f>
        <v/>
      </c>
      <c r="C26" s="26" t="str">
        <f>IF(proforma!C26&lt;&gt;"",(proforma!C26),"")</f>
        <v/>
      </c>
      <c r="D26" s="27" t="str">
        <f>IF(proforma!D26&lt;&gt;"",(proforma!D26),"")</f>
        <v/>
      </c>
      <c r="E26" s="28"/>
      <c r="F26" s="28"/>
    </row>
    <row r="27" spans="2:11" x14ac:dyDescent="0.25">
      <c r="B27" s="26" t="str">
        <f>IF(proforma!B27&lt;&gt;"",(proforma!B27),"")</f>
        <v/>
      </c>
      <c r="C27" s="26" t="str">
        <f>IF(proforma!C27&lt;&gt;"",(proforma!C27),"")</f>
        <v/>
      </c>
      <c r="D27" s="27" t="str">
        <f>IF(proforma!D27&lt;&gt;"",(proforma!D27),"")</f>
        <v/>
      </c>
      <c r="E27" s="28"/>
      <c r="F27" s="28"/>
    </row>
    <row r="28" spans="2:11" x14ac:dyDescent="0.25">
      <c r="B28" s="26" t="str">
        <f>IF(proforma!B28&lt;&gt;"",(proforma!B28),"")</f>
        <v/>
      </c>
      <c r="C28" s="26" t="str">
        <f>IF(proforma!C28&lt;&gt;"",(proforma!C28),"")</f>
        <v/>
      </c>
      <c r="D28" s="27" t="str">
        <f>IF(proforma!D28&lt;&gt;"",(proforma!D28),"")</f>
        <v/>
      </c>
      <c r="E28" s="28"/>
      <c r="F28" s="28"/>
    </row>
    <row r="29" spans="2:11" x14ac:dyDescent="0.25">
      <c r="B29" s="26" t="str">
        <f>IF(proforma!B29&lt;&gt;"",(proforma!B29),"")</f>
        <v/>
      </c>
      <c r="C29" s="26" t="str">
        <f>IF(proforma!C29&lt;&gt;"",(proforma!C29),"")</f>
        <v/>
      </c>
      <c r="D29" s="27" t="str">
        <f>IF(proforma!D29&lt;&gt;"",(proforma!D29),"")</f>
        <v/>
      </c>
      <c r="E29" s="28"/>
      <c r="F29" s="28"/>
    </row>
    <row r="30" spans="2:11" x14ac:dyDescent="0.25">
      <c r="B30" s="26" t="str">
        <f>IF(proforma!B30&lt;&gt;"",(proforma!B30),"")</f>
        <v/>
      </c>
      <c r="C30" s="26" t="str">
        <f>IF(proforma!C30&lt;&gt;"",(proforma!C30),"")</f>
        <v/>
      </c>
      <c r="D30" s="27" t="str">
        <f>IF(proforma!D30&lt;&gt;"",(proforma!D30),"")</f>
        <v/>
      </c>
      <c r="E30" s="28"/>
      <c r="F30" s="28"/>
    </row>
    <row r="31" spans="2:11" x14ac:dyDescent="0.25">
      <c r="B31" s="26" t="str">
        <f>IF(proforma!B31&lt;&gt;"",(proforma!B31),"")</f>
        <v/>
      </c>
      <c r="C31" s="26" t="str">
        <f>IF(proforma!C31&lt;&gt;"",(proforma!C31),"")</f>
        <v/>
      </c>
      <c r="D31" s="27" t="str">
        <f>IF(proforma!D31&lt;&gt;"",(proforma!D31),"")</f>
        <v/>
      </c>
      <c r="E31" s="28"/>
      <c r="F31" s="28"/>
    </row>
    <row r="32" spans="2:11" x14ac:dyDescent="0.25">
      <c r="B32" s="26" t="str">
        <f>IF(proforma!B32&lt;&gt;"",(proforma!B32),"")</f>
        <v/>
      </c>
      <c r="C32" s="26" t="str">
        <f>IF(proforma!C32&lt;&gt;"",(proforma!C32),"")</f>
        <v/>
      </c>
      <c r="D32" s="27" t="str">
        <f>IF(proforma!D32&lt;&gt;"",(proforma!D32),"")</f>
        <v/>
      </c>
      <c r="E32" s="28"/>
      <c r="F32" s="28"/>
    </row>
    <row r="33" spans="2:6" x14ac:dyDescent="0.25">
      <c r="B33" s="26" t="str">
        <f>IF(proforma!B33&lt;&gt;"",(proforma!B33),"")</f>
        <v/>
      </c>
      <c r="C33" s="26" t="str">
        <f>IF(proforma!C33&lt;&gt;"",(proforma!C33),"")</f>
        <v/>
      </c>
      <c r="D33" s="27" t="str">
        <f>IF(proforma!D33&lt;&gt;"",(proforma!D33),"")</f>
        <v/>
      </c>
      <c r="E33" s="28"/>
      <c r="F33" s="28"/>
    </row>
    <row r="34" spans="2:6" x14ac:dyDescent="0.25">
      <c r="B34" s="26" t="str">
        <f>IF(proforma!B34&lt;&gt;"",(proforma!B34),"")</f>
        <v/>
      </c>
      <c r="C34" s="26" t="str">
        <f>IF(proforma!C34&lt;&gt;"",(proforma!C34),"")</f>
        <v/>
      </c>
      <c r="D34" s="27" t="str">
        <f>IF(proforma!D34&lt;&gt;"",(proforma!D34),"")</f>
        <v/>
      </c>
      <c r="E34" s="28"/>
      <c r="F34" s="28"/>
    </row>
    <row r="35" spans="2:6" x14ac:dyDescent="0.25">
      <c r="B35" s="26" t="str">
        <f>IF(proforma!B35&lt;&gt;"",(proforma!B35),"")</f>
        <v/>
      </c>
      <c r="C35" s="26" t="str">
        <f>IF(proforma!C35&lt;&gt;"",(proforma!C35),"")</f>
        <v/>
      </c>
      <c r="D35" s="27" t="str">
        <f>IF(proforma!D35&lt;&gt;"",(proforma!D35),"")</f>
        <v/>
      </c>
      <c r="E35" s="28" t="str">
        <f>IF(proforma!E33&lt;&gt;"",(proforma!E33),"")</f>
        <v/>
      </c>
      <c r="F35" s="28"/>
    </row>
    <row r="36" spans="2:6" x14ac:dyDescent="0.25">
      <c r="B36" s="26" t="str">
        <f>IF(proforma!B36&lt;&gt;"",(proforma!B36),"")</f>
        <v/>
      </c>
      <c r="C36" s="26" t="str">
        <f>IF(proforma!C36&lt;&gt;"",(proforma!C36),"")</f>
        <v/>
      </c>
      <c r="D36" s="27" t="str">
        <f>IF(proforma!D36&lt;&gt;"",(proforma!D36),"")</f>
        <v/>
      </c>
      <c r="E36" s="28" t="str">
        <f>IF(proforma!E34&lt;&gt;"",(proforma!E34),"")</f>
        <v/>
      </c>
      <c r="F36" s="28"/>
    </row>
    <row r="37" spans="2:6" x14ac:dyDescent="0.25">
      <c r="B37" s="26" t="str">
        <f>IF(proforma!B37&lt;&gt;"",(proforma!B37),"")</f>
        <v/>
      </c>
      <c r="C37" s="26" t="str">
        <f>IF(proforma!C37&lt;&gt;"",(proforma!C37),"")</f>
        <v/>
      </c>
      <c r="D37" s="27" t="str">
        <f>IF(proforma!D37&lt;&gt;"",(proforma!D37),"")</f>
        <v/>
      </c>
      <c r="E37" s="28" t="str">
        <f>IF(proforma!E35&lt;&gt;"",(proforma!E35),"")</f>
        <v/>
      </c>
      <c r="F37" s="28"/>
    </row>
    <row r="38" spans="2:6" x14ac:dyDescent="0.25">
      <c r="B38" s="26" t="str">
        <f>IF(proforma!B38&lt;&gt;"",(proforma!B38),"")</f>
        <v/>
      </c>
      <c r="C38" s="26" t="str">
        <f>IF(proforma!C38&lt;&gt;"",(proforma!C38),"")</f>
        <v/>
      </c>
      <c r="D38" s="27" t="str">
        <f>IF(proforma!D38&lt;&gt;"",(proforma!D38),"")</f>
        <v/>
      </c>
      <c r="E38" s="28" t="str">
        <f>IF(proforma!E36&lt;&gt;"",(proforma!E36),"")</f>
        <v/>
      </c>
      <c r="F38" s="28"/>
    </row>
    <row r="39" spans="2:6" x14ac:dyDescent="0.25">
      <c r="B39" s="26" t="str">
        <f>IF(proforma!B39&lt;&gt;"",(proforma!B39),"")</f>
        <v/>
      </c>
      <c r="C39" s="26" t="str">
        <f>IF(proforma!C39&lt;&gt;"",(proforma!C39),"")</f>
        <v/>
      </c>
      <c r="D39" s="27" t="str">
        <f>IF(proforma!D39&lt;&gt;"",(proforma!D39),"")</f>
        <v/>
      </c>
      <c r="E39" s="28" t="str">
        <f>IF(proforma!E37&lt;&gt;"",(proforma!E37),"")</f>
        <v/>
      </c>
      <c r="F39" s="28"/>
    </row>
    <row r="40" spans="2:6" x14ac:dyDescent="0.25">
      <c r="B40" s="26" t="str">
        <f>IF(proforma!B40&lt;&gt;"",(proforma!B40),"")</f>
        <v/>
      </c>
      <c r="C40" s="26" t="str">
        <f>IF(proforma!C40&lt;&gt;"",(proforma!C40),"")</f>
        <v/>
      </c>
      <c r="D40" s="27" t="str">
        <f>IF(proforma!D40&lt;&gt;"",(proforma!D40),"")</f>
        <v/>
      </c>
      <c r="E40" s="28" t="str">
        <f>IF(proforma!E38&lt;&gt;"",(proforma!E38),"")</f>
        <v/>
      </c>
      <c r="F40" s="28"/>
    </row>
    <row r="41" spans="2:6" x14ac:dyDescent="0.25">
      <c r="B41" s="26" t="str">
        <f>IF(proforma!B41&lt;&gt;"",(proforma!B41),"")</f>
        <v/>
      </c>
      <c r="C41" s="26"/>
      <c r="D41" s="27"/>
      <c r="E41" s="28" t="str">
        <f>IF(proforma!E39&lt;&gt;"",(proforma!E39),"")</f>
        <v/>
      </c>
      <c r="F41" s="28"/>
    </row>
    <row r="42" spans="2:6" x14ac:dyDescent="0.25">
      <c r="B42" s="26" t="str">
        <f>IF(proforma!B42&lt;&gt;"",(proforma!B42),"")</f>
        <v>SUB TOTAL BASE IMPONIBLE</v>
      </c>
      <c r="C42" s="26" t="str">
        <f>IF(proforma!C40&lt;&gt;"",(proforma!C40),"")</f>
        <v/>
      </c>
      <c r="D42" s="27" t="str">
        <f>IF(proforma!D40&lt;&gt;"",(proforma!D40),"")</f>
        <v/>
      </c>
      <c r="E42" s="28" t="str">
        <f>IF(proforma!E40&lt;&gt;"",(proforma!E40),"")</f>
        <v/>
      </c>
      <c r="F42" s="28" t="str">
        <f>IF(D42&lt;&gt;"",D42*E42,"")</f>
        <v/>
      </c>
    </row>
    <row r="43" spans="2:6" x14ac:dyDescent="0.25">
      <c r="B43" s="26" t="str">
        <f>IF(proforma!B41&lt;&gt;"",(proforma!B41),"")</f>
        <v/>
      </c>
      <c r="C43" s="26" t="str">
        <f>IF(proforma!C41&lt;&gt;"",(proforma!C41),"")</f>
        <v/>
      </c>
      <c r="D43" s="27" t="str">
        <f>IF(proforma!D41&lt;&gt;"",(proforma!D41),"")</f>
        <v/>
      </c>
      <c r="E43" s="28" t="str">
        <f>IF(proforma!E41&lt;&gt;"",(proforma!E41),"")</f>
        <v/>
      </c>
      <c r="F43" s="28" t="str">
        <f>IF(D43&lt;&gt;"",D43*E43,"")</f>
        <v/>
      </c>
    </row>
    <row r="44" spans="2:6" ht="18.75" x14ac:dyDescent="0.3">
      <c r="B44" s="11" t="s">
        <v>19</v>
      </c>
      <c r="C44" s="11"/>
      <c r="D44" s="31"/>
      <c r="E44" s="32"/>
      <c r="F44" s="32">
        <f>SUM(F18:F43)</f>
        <v>0</v>
      </c>
    </row>
    <row r="45" spans="2:6" ht="18.75" x14ac:dyDescent="0.3">
      <c r="B45" s="33" t="str">
        <f>proforma!B43</f>
        <v>Descuento %</v>
      </c>
      <c r="C45" s="33"/>
      <c r="D45" s="79">
        <f>proforma!D43</f>
        <v>50</v>
      </c>
      <c r="E45" s="36"/>
      <c r="F45" s="36">
        <f>proforma!F43</f>
        <v>0</v>
      </c>
    </row>
    <row r="46" spans="2:6" ht="18.75" x14ac:dyDescent="0.3">
      <c r="B46" s="38" t="str">
        <f>IF(proforma!B44&lt;&gt;"",(proforma!B44),"")</f>
        <v>TOTAL BASE IMPONIBLE PINTURAS</v>
      </c>
      <c r="C46" s="38"/>
      <c r="D46" s="38" t="str">
        <f>IF(proforma!D44&lt;&gt;"",(proforma!D44),"")</f>
        <v/>
      </c>
      <c r="E46" s="39"/>
      <c r="F46" s="39">
        <f>SUM(F44:F45)</f>
        <v>0</v>
      </c>
    </row>
    <row r="47" spans="2:6" ht="18.75" x14ac:dyDescent="0.3">
      <c r="B47" s="40" t="str">
        <f>IF(proforma!B45&lt;&gt;"",(proforma!B45),"")</f>
        <v>Portes Península</v>
      </c>
      <c r="C47" s="40"/>
      <c r="D47" s="40">
        <f>IF(proforma!D45&lt;&gt;"",(proforma!D45),"")</f>
        <v>1</v>
      </c>
      <c r="E47" s="42"/>
      <c r="F47" s="42">
        <f>proforma!F45</f>
        <v>17</v>
      </c>
    </row>
    <row r="48" spans="2:6" ht="18.75" x14ac:dyDescent="0.3">
      <c r="B48" s="40" t="str">
        <f>IF(proforma!B46&lt;&gt;"",(proforma!B46),"")</f>
        <v>MANO DE OBRA</v>
      </c>
      <c r="C48" s="40"/>
      <c r="D48" s="40" t="str">
        <f>IF(proforma!D46&lt;&gt;"",(proforma!D46),"")</f>
        <v/>
      </c>
      <c r="E48" s="42" t="str">
        <f>IF(proforma!E46&lt;&gt;"",(proforma!E46),"")</f>
        <v/>
      </c>
      <c r="F48" s="42" t="str">
        <f>proforma!F46</f>
        <v/>
      </c>
    </row>
    <row r="49" spans="2:6" ht="18.75" x14ac:dyDescent="0.3">
      <c r="B49" s="33" t="str">
        <f>IF(proforma!B47&lt;&gt;"",(proforma!B47),"")</f>
        <v>Otros Varios</v>
      </c>
      <c r="C49" s="33"/>
      <c r="D49" s="33" t="str">
        <f>IF(proforma!D47&lt;&gt;"",(proforma!D47),"")</f>
        <v/>
      </c>
      <c r="E49" s="36" t="str">
        <f>IF(proforma!E47&lt;&gt;"",(proforma!E47),"")</f>
        <v/>
      </c>
      <c r="F49" s="36" t="str">
        <f>proforma!F47</f>
        <v/>
      </c>
    </row>
    <row r="50" spans="2:6" ht="18.75" x14ac:dyDescent="0.3">
      <c r="B50" s="38" t="str">
        <f>IF(proforma!B48&lt;&gt;"",(proforma!B48),"")</f>
        <v>TOTAL BASE IMPONIBLE</v>
      </c>
      <c r="C50" s="38"/>
      <c r="D50" s="38" t="str">
        <f>IF(proforma!D48&lt;&gt;"",(proforma!D48),"")</f>
        <v/>
      </c>
      <c r="E50" s="39"/>
      <c r="F50" s="39">
        <f>SUM(F46:F49)</f>
        <v>17</v>
      </c>
    </row>
    <row r="51" spans="2:6" ht="18.75" x14ac:dyDescent="0.3">
      <c r="B51" s="40" t="str">
        <f>IF(proforma!B49&lt;&gt;"",(proforma!B49),"")</f>
        <v>21% IVA</v>
      </c>
      <c r="C51" s="40"/>
      <c r="D51" s="40" t="str">
        <f>IF(proforma!D49&lt;&gt;"",(proforma!D49),"")</f>
        <v/>
      </c>
      <c r="E51" s="42"/>
      <c r="F51" s="42">
        <f>IF(proforma!F49&lt;&gt;"",(proforma!F49),"")</f>
        <v>3.57</v>
      </c>
    </row>
    <row r="52" spans="2:6" s="43" customFormat="1" ht="21" x14ac:dyDescent="0.35">
      <c r="B52" s="80" t="s">
        <v>29</v>
      </c>
      <c r="C52" s="80"/>
      <c r="D52" s="80"/>
      <c r="E52" s="81"/>
      <c r="F52" s="81">
        <f>SUM(F50:F51)</f>
        <v>20.57</v>
      </c>
    </row>
    <row r="53" spans="2:6" ht="12" customHeight="1" x14ac:dyDescent="0.25"/>
    <row r="54" spans="2:6" ht="12" customHeight="1" x14ac:dyDescent="0.25"/>
    <row r="55" spans="2:6" ht="23.25" x14ac:dyDescent="0.35">
      <c r="B55" s="6" t="s">
        <v>30</v>
      </c>
    </row>
    <row r="56" spans="2:6" ht="12" customHeight="1" x14ac:dyDescent="0.25"/>
    <row r="57" spans="2:6" x14ac:dyDescent="0.25">
      <c r="B57" s="46" t="s">
        <v>31</v>
      </c>
      <c r="C57" s="46" t="str">
        <f>proforma!C55</f>
        <v>Transferencia</v>
      </c>
      <c r="D57" s="46"/>
      <c r="E57" s="47"/>
      <c r="F57" s="47"/>
    </row>
    <row r="58" spans="2:6" x14ac:dyDescent="0.25">
      <c r="B58" s="46" t="s">
        <v>33</v>
      </c>
      <c r="C58" s="48" t="str">
        <f>proforma!C56</f>
        <v>Banco Sabadell  IBAN: ES14 0081 0286 8800 0184 3288</v>
      </c>
      <c r="D58" s="48"/>
      <c r="E58" s="49"/>
      <c r="F58" s="47"/>
    </row>
    <row r="59" spans="2:6" x14ac:dyDescent="0.25">
      <c r="B59" s="46" t="s">
        <v>35</v>
      </c>
      <c r="C59" s="46" t="str">
        <f>proforma!C57</f>
        <v>portes pagados</v>
      </c>
      <c r="D59" s="46"/>
      <c r="E59" s="47"/>
      <c r="F59" s="47"/>
    </row>
    <row r="60" spans="2:6" x14ac:dyDescent="0.25">
      <c r="B60" s="50" t="s">
        <v>37</v>
      </c>
      <c r="C60" s="82" t="str">
        <f>IF(proforma!C58&lt;&gt;"",(proforma!C58),"")</f>
        <v/>
      </c>
      <c r="D60" s="50"/>
      <c r="E60" s="52"/>
      <c r="F60" s="52"/>
    </row>
    <row r="61" spans="2:6" ht="12" customHeight="1" x14ac:dyDescent="0.25"/>
    <row r="62" spans="2:6" ht="12" customHeight="1" x14ac:dyDescent="0.25"/>
    <row r="63" spans="2:6" ht="18.75" x14ac:dyDescent="0.3">
      <c r="B63" s="40" t="s">
        <v>38</v>
      </c>
    </row>
    <row r="64" spans="2:6" ht="12" customHeight="1" x14ac:dyDescent="0.25">
      <c r="B64" s="1" t="s">
        <v>53</v>
      </c>
      <c r="E64" s="53"/>
      <c r="F64" s="54" t="s">
        <v>40</v>
      </c>
    </row>
    <row r="65" spans="2:6" ht="12.75" customHeight="1" x14ac:dyDescent="0.25">
      <c r="B65" s="1" t="s">
        <v>41</v>
      </c>
      <c r="E65" s="53"/>
      <c r="F65" s="54"/>
    </row>
    <row r="66" spans="2:6" ht="13.5" customHeight="1" x14ac:dyDescent="0.25">
      <c r="B66" s="1" t="s">
        <v>42</v>
      </c>
      <c r="E66" s="55" t="s">
        <v>43</v>
      </c>
      <c r="F66" s="1"/>
    </row>
    <row r="67" spans="2:6" x14ac:dyDescent="0.25">
      <c r="E67" s="56" t="s">
        <v>44</v>
      </c>
      <c r="F67" s="1"/>
    </row>
  </sheetData>
  <hyperlinks>
    <hyperlink ref="E66" r:id="rId1" xr:uid="{00000000-0004-0000-0100-000000000000}"/>
    <hyperlink ref="E67" r:id="rId2" xr:uid="{00000000-0004-0000-0100-000001000000}"/>
  </hyperlinks>
  <pageMargins left="0.70833333333333304" right="0.70833333333333304" top="0.74791666666666701" bottom="0.74791666666666701" header="0.511811023622047" footer="0.511811023622047"/>
  <pageSetup paperSize="9" fitToWidth="0" orientation="portrait" horizontalDpi="300" verticalDpi="30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4:AMJ67"/>
  <sheetViews>
    <sheetView zoomScaleNormal="100" workbookViewId="0">
      <selection activeCell="C4" sqref="C4"/>
    </sheetView>
  </sheetViews>
  <sheetFormatPr baseColWidth="10" defaultColWidth="11.42578125" defaultRowHeight="15.75" x14ac:dyDescent="0.25"/>
  <cols>
    <col min="1" max="1" width="3.140625" style="1" customWidth="1"/>
    <col min="2" max="2" width="20.85546875" style="1" customWidth="1"/>
    <col min="3" max="3" width="37.140625" style="1" customWidth="1"/>
    <col min="4" max="4" width="13" style="1" customWidth="1"/>
    <col min="5" max="5" width="23.5703125" style="2" customWidth="1"/>
    <col min="6" max="6" width="13" style="2" customWidth="1"/>
    <col min="7" max="7" width="6.85546875" style="1" customWidth="1"/>
    <col min="8" max="1024" width="11.42578125" style="1"/>
  </cols>
  <sheetData>
    <row r="4" spans="2:6" ht="26.25" x14ac:dyDescent="0.4">
      <c r="E4" s="3" t="s">
        <v>54</v>
      </c>
    </row>
    <row r="5" spans="2:6" ht="21" x14ac:dyDescent="0.35">
      <c r="E5" s="4" t="str">
        <f>proforma!D5</f>
        <v>PROFORMA: 291225462RNM</v>
      </c>
    </row>
    <row r="6" spans="2:6" ht="21" x14ac:dyDescent="0.35">
      <c r="E6" s="4" t="str">
        <f>proforma!D6</f>
        <v>FECHA:26/12/2025</v>
      </c>
    </row>
    <row r="8" spans="2:6" ht="23.25" x14ac:dyDescent="0.35">
      <c r="B8" s="6" t="s">
        <v>2</v>
      </c>
      <c r="C8" s="4"/>
    </row>
    <row r="9" spans="2:6" ht="18.75" x14ac:dyDescent="0.3">
      <c r="B9" s="7" t="s">
        <v>3</v>
      </c>
      <c r="C9" s="11" t="str">
        <f>IF(proforma!C9&lt;&gt;"",(proforma!C9),"")</f>
        <v/>
      </c>
      <c r="D9" s="7" t="s">
        <v>4</v>
      </c>
      <c r="E9" s="63" t="str">
        <f>IF(proforma!E9&lt;&gt;"",(proforma!E9),"")</f>
        <v/>
      </c>
      <c r="F9" s="9"/>
    </row>
    <row r="10" spans="2:6" ht="18.75" x14ac:dyDescent="0.3">
      <c r="B10" s="7" t="s">
        <v>5</v>
      </c>
      <c r="C10" s="11"/>
      <c r="D10" s="7" t="s">
        <v>6</v>
      </c>
      <c r="E10" s="83" t="str">
        <f>IF(proforma!E10&lt;&gt;"",(proforma!E10),"")</f>
        <v/>
      </c>
      <c r="F10" s="9"/>
    </row>
    <row r="11" spans="2:6" ht="18.75" x14ac:dyDescent="0.3">
      <c r="B11" s="7" t="s">
        <v>7</v>
      </c>
      <c r="C11" s="11"/>
      <c r="D11" s="7" t="s">
        <v>8</v>
      </c>
      <c r="E11" s="12" t="str">
        <f>IF(proforma!E11&lt;&gt;"",(proforma!E11),"")</f>
        <v/>
      </c>
      <c r="F11" s="9"/>
    </row>
    <row r="12" spans="2:6" ht="18.75" x14ac:dyDescent="0.3">
      <c r="B12" s="7" t="s">
        <v>9</v>
      </c>
      <c r="C12" s="11"/>
      <c r="D12" s="7" t="s">
        <v>10</v>
      </c>
      <c r="E12" s="63" t="str">
        <f>IF(proforma!E12&lt;&gt;"",(proforma!E12),"")</f>
        <v/>
      </c>
      <c r="F12" s="9"/>
    </row>
    <row r="13" spans="2:6" ht="18.75" x14ac:dyDescent="0.3">
      <c r="B13" s="7" t="s">
        <v>11</v>
      </c>
      <c r="C13" s="7" t="str">
        <f>IF(proforma!C13&lt;&gt;"",(proforma!C13),"")</f>
        <v/>
      </c>
      <c r="D13" s="7" t="s">
        <v>12</v>
      </c>
      <c r="E13" s="84" t="str">
        <f>IF(proforma!E13&lt;&gt;"",(proforma!E13),"")</f>
        <v/>
      </c>
      <c r="F13" s="9"/>
    </row>
    <row r="14" spans="2:6" ht="18.75" x14ac:dyDescent="0.3">
      <c r="B14" s="14"/>
      <c r="C14" s="14"/>
      <c r="D14" s="14"/>
      <c r="E14" s="72" t="str">
        <f>IF(proforma!E14&lt;&gt;"",(proforma!E14),"")</f>
        <v/>
      </c>
      <c r="F14" s="15"/>
    </row>
    <row r="15" spans="2:6" ht="23.25" x14ac:dyDescent="0.35">
      <c r="B15" s="6" t="s">
        <v>13</v>
      </c>
      <c r="E15" s="75"/>
    </row>
    <row r="17" spans="2:6" s="17" customFormat="1" ht="21" x14ac:dyDescent="0.35">
      <c r="B17" s="18" t="s">
        <v>15</v>
      </c>
      <c r="C17" s="18"/>
      <c r="D17" s="19" t="s">
        <v>16</v>
      </c>
      <c r="E17" s="20" t="s">
        <v>17</v>
      </c>
      <c r="F17" s="20" t="s">
        <v>18</v>
      </c>
    </row>
    <row r="18" spans="2:6" x14ac:dyDescent="0.25">
      <c r="B18" s="21"/>
      <c r="C18" s="21"/>
      <c r="D18" s="22"/>
      <c r="E18" s="23"/>
      <c r="F18" s="24" t="str">
        <f>IF(D18&lt;&gt;"",D18*E18,"")</f>
        <v/>
      </c>
    </row>
    <row r="19" spans="2:6" x14ac:dyDescent="0.25">
      <c r="B19" s="26" t="str">
        <f>IF(proforma!B19&lt;&gt;"",(proforma!B19),"")</f>
        <v/>
      </c>
      <c r="C19" s="26" t="str">
        <f>IF(proforma!C19&lt;&gt;"",(proforma!C19),"")</f>
        <v/>
      </c>
      <c r="D19" s="27" t="str">
        <f>IF(proforma!D19&lt;&gt;"",(proforma!D19),"")</f>
        <v/>
      </c>
      <c r="E19" s="28"/>
      <c r="F19" s="28"/>
    </row>
    <row r="20" spans="2:6" x14ac:dyDescent="0.25">
      <c r="B20" s="26" t="str">
        <f>IF(proforma!B20&lt;&gt;"",(proforma!B20),"")</f>
        <v/>
      </c>
      <c r="C20" s="26" t="str">
        <f>IF(proforma!C20&lt;&gt;"",(proforma!C20),"")</f>
        <v/>
      </c>
      <c r="D20" s="27" t="str">
        <f>IF(proforma!D20&lt;&gt;"",(proforma!D20),"")</f>
        <v/>
      </c>
      <c r="E20" s="28"/>
      <c r="F20" s="28"/>
    </row>
    <row r="21" spans="2:6" x14ac:dyDescent="0.25">
      <c r="B21" s="26" t="str">
        <f>IF(proforma!B21&lt;&gt;"",(proforma!B21),"")</f>
        <v/>
      </c>
      <c r="C21" s="26" t="str">
        <f>IF(proforma!C21&lt;&gt;"",(proforma!C21),"")</f>
        <v/>
      </c>
      <c r="D21" s="27" t="str">
        <f>IF(proforma!D21&lt;&gt;"",(proforma!D21),"")</f>
        <v/>
      </c>
      <c r="E21" s="28"/>
      <c r="F21" s="28"/>
    </row>
    <row r="22" spans="2:6" x14ac:dyDescent="0.25">
      <c r="B22" s="26" t="str">
        <f>IF(proforma!B22&lt;&gt;"",(proforma!B22),"")</f>
        <v/>
      </c>
      <c r="C22" s="26" t="str">
        <f>IF(proforma!C22&lt;&gt;"",(proforma!C22),"")</f>
        <v/>
      </c>
      <c r="D22" s="27" t="str">
        <f>IF(proforma!D22&lt;&gt;"",(proforma!D22),"")</f>
        <v/>
      </c>
      <c r="E22" s="28"/>
      <c r="F22" s="28"/>
    </row>
    <row r="23" spans="2:6" x14ac:dyDescent="0.25">
      <c r="B23" s="26" t="str">
        <f>IF(proforma!B23&lt;&gt;"",(proforma!B23),"")</f>
        <v/>
      </c>
      <c r="C23" s="26" t="str">
        <f>IF(proforma!C23&lt;&gt;"",(proforma!C23),"")</f>
        <v/>
      </c>
      <c r="D23" s="27" t="str">
        <f>IF(proforma!D23&lt;&gt;"",(proforma!D23),"")</f>
        <v/>
      </c>
      <c r="E23" s="28"/>
      <c r="F23" s="28"/>
    </row>
    <row r="24" spans="2:6" x14ac:dyDescent="0.25">
      <c r="B24" s="26" t="str">
        <f>IF(proforma!B24&lt;&gt;"",(proforma!B24),"")</f>
        <v/>
      </c>
      <c r="C24" s="26" t="str">
        <f>IF(proforma!C24&lt;&gt;"",(proforma!C24),"")</f>
        <v/>
      </c>
      <c r="D24" s="27" t="str">
        <f>IF(proforma!D24&lt;&gt;"",(proforma!D24),"")</f>
        <v/>
      </c>
      <c r="E24" s="28"/>
      <c r="F24" s="28"/>
    </row>
    <row r="25" spans="2:6" x14ac:dyDescent="0.25">
      <c r="B25" s="26" t="str">
        <f>IF(proforma!B25&lt;&gt;"",(proforma!B25),"")</f>
        <v/>
      </c>
      <c r="C25" s="26" t="str">
        <f>IF(proforma!C25&lt;&gt;"",(proforma!C25),"")</f>
        <v/>
      </c>
      <c r="D25" s="27" t="str">
        <f>IF(proforma!D25&lt;&gt;"",(proforma!D25),"")</f>
        <v/>
      </c>
      <c r="E25" s="28"/>
      <c r="F25" s="28"/>
    </row>
    <row r="26" spans="2:6" x14ac:dyDescent="0.25">
      <c r="B26" s="26" t="str">
        <f>IF(proforma!B26&lt;&gt;"",(proforma!B26),"")</f>
        <v/>
      </c>
      <c r="C26" s="26" t="str">
        <f>IF(proforma!C26&lt;&gt;"",(proforma!C26),"")</f>
        <v/>
      </c>
      <c r="D26" s="27" t="str">
        <f>IF(proforma!D26&lt;&gt;"",(proforma!D26),"")</f>
        <v/>
      </c>
      <c r="E26" s="28"/>
      <c r="F26" s="28"/>
    </row>
    <row r="27" spans="2:6" x14ac:dyDescent="0.25">
      <c r="B27" s="26" t="str">
        <f>IF(proforma!B27&lt;&gt;"",(proforma!B27),"")</f>
        <v/>
      </c>
      <c r="C27" s="26" t="str">
        <f>IF(proforma!C27&lt;&gt;"",(proforma!C27),"")</f>
        <v/>
      </c>
      <c r="D27" s="27" t="str">
        <f>IF(proforma!D27&lt;&gt;"",(proforma!D27),"")</f>
        <v/>
      </c>
      <c r="E27" s="28"/>
      <c r="F27" s="28"/>
    </row>
    <row r="28" spans="2:6" x14ac:dyDescent="0.25">
      <c r="B28" s="26" t="str">
        <f>IF(proforma!B28&lt;&gt;"",(proforma!B28),"")</f>
        <v/>
      </c>
      <c r="C28" s="26" t="str">
        <f>IF(proforma!C28&lt;&gt;"",(proforma!C28),"")</f>
        <v/>
      </c>
      <c r="D28" s="27" t="str">
        <f>IF(proforma!D28&lt;&gt;"",(proforma!D28),"")</f>
        <v/>
      </c>
      <c r="E28" s="28"/>
      <c r="F28" s="28"/>
    </row>
    <row r="29" spans="2:6" x14ac:dyDescent="0.25">
      <c r="B29" s="26" t="str">
        <f>IF(proforma!B29&lt;&gt;"",(proforma!B29),"")</f>
        <v/>
      </c>
      <c r="C29" s="26" t="str">
        <f>IF(proforma!C29&lt;&gt;"",(proforma!C29),"")</f>
        <v/>
      </c>
      <c r="D29" s="27" t="str">
        <f>IF(proforma!D29&lt;&gt;"",(proforma!D29),"")</f>
        <v/>
      </c>
      <c r="E29" s="28"/>
      <c r="F29" s="28"/>
    </row>
    <row r="30" spans="2:6" x14ac:dyDescent="0.25">
      <c r="B30" s="26" t="str">
        <f>IF(proforma!B30&lt;&gt;"",(proforma!B30),"")</f>
        <v/>
      </c>
      <c r="C30" s="26" t="str">
        <f>IF(proforma!C30&lt;&gt;"",(proforma!C30),"")</f>
        <v/>
      </c>
      <c r="D30" s="27" t="str">
        <f>IF(proforma!D30&lt;&gt;"",(proforma!D30),"")</f>
        <v/>
      </c>
      <c r="E30" s="28"/>
      <c r="F30" s="28"/>
    </row>
    <row r="31" spans="2:6" x14ac:dyDescent="0.25">
      <c r="B31" s="26" t="str">
        <f>IF(proforma!B31&lt;&gt;"",(proforma!B31),"")</f>
        <v/>
      </c>
      <c r="C31" s="26" t="str">
        <f>IF(proforma!C31&lt;&gt;"",(proforma!C31),"")</f>
        <v/>
      </c>
      <c r="D31" s="27" t="str">
        <f>IF(proforma!D31&lt;&gt;"",(proforma!D31),"")</f>
        <v/>
      </c>
      <c r="E31" s="28"/>
      <c r="F31" s="28"/>
    </row>
    <row r="32" spans="2:6" x14ac:dyDescent="0.25">
      <c r="B32" s="26" t="str">
        <f>IF(proforma!B32&lt;&gt;"",(proforma!B32),"")</f>
        <v/>
      </c>
      <c r="C32" s="26" t="str">
        <f>IF(proforma!C32&lt;&gt;"",(proforma!C32),"")</f>
        <v/>
      </c>
      <c r="D32" s="27" t="str">
        <f>IF(proforma!D32&lt;&gt;"",(proforma!D32),"")</f>
        <v/>
      </c>
      <c r="E32" s="28"/>
      <c r="F32" s="28"/>
    </row>
    <row r="33" spans="2:6" x14ac:dyDescent="0.25">
      <c r="B33" s="26" t="str">
        <f>IF(proforma!B33&lt;&gt;"",(proforma!B33),"")</f>
        <v/>
      </c>
      <c r="C33" s="26" t="str">
        <f>IF(proforma!C33&lt;&gt;"",(proforma!C33),"")</f>
        <v/>
      </c>
      <c r="D33" s="27" t="str">
        <f>IF(proforma!D33&lt;&gt;"",(proforma!D33),"")</f>
        <v/>
      </c>
      <c r="E33" s="28"/>
      <c r="F33" s="28"/>
    </row>
    <row r="34" spans="2:6" x14ac:dyDescent="0.25">
      <c r="B34" s="26" t="str">
        <f>IF(proforma!B34&lt;&gt;"",(proforma!B34),"")</f>
        <v/>
      </c>
      <c r="C34" s="26" t="str">
        <f>IF(proforma!C34&lt;&gt;"",(proforma!C34),"")</f>
        <v/>
      </c>
      <c r="D34" s="27" t="str">
        <f>IF(proforma!D34&lt;&gt;"",(proforma!D34),"")</f>
        <v/>
      </c>
      <c r="E34" s="28"/>
      <c r="F34" s="28"/>
    </row>
    <row r="35" spans="2:6" x14ac:dyDescent="0.25">
      <c r="B35" s="26" t="str">
        <f>IF(proforma!B35&lt;&gt;"",(proforma!B35),"")</f>
        <v/>
      </c>
      <c r="C35" s="26" t="str">
        <f>IF(proforma!C35&lt;&gt;"",(proforma!C35),"")</f>
        <v/>
      </c>
      <c r="D35" s="27" t="str">
        <f>IF(proforma!D35&lt;&gt;"",(proforma!D35),"")</f>
        <v/>
      </c>
      <c r="E35" s="28"/>
      <c r="F35" s="28"/>
    </row>
    <row r="36" spans="2:6" x14ac:dyDescent="0.25">
      <c r="B36" s="26" t="str">
        <f>IF(proforma!B36&lt;&gt;"",(proforma!B36),"")</f>
        <v/>
      </c>
      <c r="C36" s="26" t="str">
        <f>IF(proforma!C36&lt;&gt;"",(proforma!C36),"")</f>
        <v/>
      </c>
      <c r="D36" s="27" t="str">
        <f>IF(proforma!D36&lt;&gt;"",(proforma!D36),"")</f>
        <v/>
      </c>
      <c r="E36" s="28"/>
      <c r="F36" s="28"/>
    </row>
    <row r="37" spans="2:6" x14ac:dyDescent="0.25">
      <c r="B37" s="26" t="str">
        <f>IF(proforma!B37&lt;&gt;"",(proforma!B37),"")</f>
        <v/>
      </c>
      <c r="C37" s="26" t="str">
        <f>IF(proforma!C37&lt;&gt;"",(proforma!C37),"")</f>
        <v/>
      </c>
      <c r="D37" s="27" t="str">
        <f>IF(proforma!D37&lt;&gt;"",(proforma!D37),"")</f>
        <v/>
      </c>
      <c r="E37" s="28"/>
      <c r="F37" s="28"/>
    </row>
    <row r="38" spans="2:6" x14ac:dyDescent="0.25">
      <c r="B38" s="26" t="str">
        <f>IF(proforma!B38&lt;&gt;"",(proforma!B38),"")</f>
        <v/>
      </c>
      <c r="C38" s="26" t="str">
        <f>IF(proforma!C38&lt;&gt;"",(proforma!C38),"")</f>
        <v/>
      </c>
      <c r="D38" s="27" t="str">
        <f>IF(proforma!D38&lt;&gt;"",(proforma!D38),"")</f>
        <v/>
      </c>
      <c r="E38" s="28"/>
      <c r="F38" s="28"/>
    </row>
    <row r="39" spans="2:6" x14ac:dyDescent="0.25">
      <c r="B39" s="26" t="str">
        <f>IF(proforma!B39&lt;&gt;"",(proforma!B39),"")</f>
        <v/>
      </c>
      <c r="C39" s="26" t="str">
        <f>IF(proforma!C39&lt;&gt;"",(proforma!C39),"")</f>
        <v/>
      </c>
      <c r="D39" s="27" t="str">
        <f>IF(proforma!D39&lt;&gt;"",(proforma!D39),"")</f>
        <v/>
      </c>
      <c r="E39" s="28"/>
      <c r="F39" s="28"/>
    </row>
    <row r="40" spans="2:6" x14ac:dyDescent="0.25">
      <c r="B40" s="26" t="str">
        <f>IF(proforma!B40&lt;&gt;"",(proforma!B40),"")</f>
        <v/>
      </c>
      <c r="C40" s="26" t="str">
        <f>IF(proforma!C40&lt;&gt;"",(proforma!C40),"")</f>
        <v/>
      </c>
      <c r="D40" s="27" t="str">
        <f>IF(proforma!D40&lt;&gt;"",(proforma!D40),"")</f>
        <v/>
      </c>
      <c r="E40" s="28"/>
      <c r="F40" s="28"/>
    </row>
    <row r="41" spans="2:6" x14ac:dyDescent="0.25">
      <c r="B41" s="26" t="str">
        <f>IF(proforma!B41&lt;&gt;"",(proforma!B41),"")</f>
        <v/>
      </c>
      <c r="C41" s="26" t="str">
        <f>IF(proforma!C41&lt;&gt;"",(proforma!C41),"")</f>
        <v/>
      </c>
      <c r="D41" s="27"/>
      <c r="E41" s="28"/>
      <c r="F41" s="28"/>
    </row>
    <row r="42" spans="2:6" x14ac:dyDescent="0.25">
      <c r="B42" s="26" t="str">
        <f>IF(proforma!B42&lt;&gt;"",(proforma!B42),"")</f>
        <v>SUB TOTAL BASE IMPONIBLE</v>
      </c>
      <c r="C42" s="26" t="str">
        <f>IF(proforma!C42&lt;&gt;"",(proforma!C42),"")</f>
        <v/>
      </c>
      <c r="D42" s="27"/>
      <c r="E42" s="28"/>
      <c r="F42" s="28"/>
    </row>
    <row r="43" spans="2:6" x14ac:dyDescent="0.25">
      <c r="B43" s="26" t="str">
        <f>IF(proforma!B43&lt;&gt;"",(proforma!B43),"")</f>
        <v>Descuento %</v>
      </c>
      <c r="C43" s="26" t="str">
        <f>IF(proforma!C43&lt;&gt;"",(proforma!C43),"")</f>
        <v>ESPECIAL</v>
      </c>
      <c r="D43" s="27" t="str">
        <f>IF(proforma!D41&lt;&gt;"",(proforma!D41),"")</f>
        <v/>
      </c>
      <c r="E43" s="28"/>
      <c r="F43" s="28"/>
    </row>
    <row r="44" spans="2:6" ht="18.75" x14ac:dyDescent="0.3">
      <c r="B44" s="11" t="s">
        <v>19</v>
      </c>
      <c r="C44" s="11"/>
      <c r="D44" s="31"/>
      <c r="E44" s="32"/>
      <c r="F44" s="32"/>
    </row>
    <row r="45" spans="2:6" ht="18.75" x14ac:dyDescent="0.3">
      <c r="B45" s="33" t="str">
        <f>proforma!B43</f>
        <v>Descuento %</v>
      </c>
      <c r="C45" s="33"/>
      <c r="D45" s="79"/>
      <c r="E45" s="36"/>
      <c r="F45" s="36"/>
    </row>
    <row r="46" spans="2:6" ht="18.75" x14ac:dyDescent="0.3">
      <c r="B46" s="38" t="str">
        <f>IF(proforma!B44&lt;&gt;"",(proforma!B44),"")</f>
        <v>TOTAL BASE IMPONIBLE PINTURAS</v>
      </c>
      <c r="C46" s="38"/>
      <c r="D46" s="38" t="str">
        <f>IF(proforma!D44&lt;&gt;"",(proforma!D44),"")</f>
        <v/>
      </c>
      <c r="E46" s="39"/>
      <c r="F46" s="39"/>
    </row>
    <row r="47" spans="2:6" ht="18.75" x14ac:dyDescent="0.3">
      <c r="B47" s="40" t="str">
        <f>IF(proforma!B45&lt;&gt;"",(proforma!B45),"")</f>
        <v>Portes Península</v>
      </c>
      <c r="C47" s="40"/>
      <c r="D47" s="40"/>
      <c r="E47" s="42"/>
      <c r="F47" s="42"/>
    </row>
    <row r="48" spans="2:6" ht="18.75" x14ac:dyDescent="0.3">
      <c r="B48" s="40" t="str">
        <f>IF(proforma!B46&lt;&gt;"",(proforma!B46),"")</f>
        <v>MANO DE OBRA</v>
      </c>
      <c r="C48" s="40"/>
      <c r="D48" s="40" t="str">
        <f>IF(proforma!D46&lt;&gt;"",(proforma!D46),"")</f>
        <v/>
      </c>
      <c r="E48" s="42"/>
      <c r="F48" s="42"/>
    </row>
    <row r="49" spans="2:6" ht="18.75" x14ac:dyDescent="0.3">
      <c r="B49" s="33" t="str">
        <f>IF(proforma!B47&lt;&gt;"",(proforma!B47),"")</f>
        <v>Otros Varios</v>
      </c>
      <c r="C49" s="33"/>
      <c r="D49" s="33" t="str">
        <f>IF(proforma!D47&lt;&gt;"",(proforma!D47),"")</f>
        <v/>
      </c>
      <c r="E49" s="36"/>
      <c r="F49" s="36"/>
    </row>
    <row r="50" spans="2:6" ht="18.75" x14ac:dyDescent="0.3">
      <c r="B50" s="38" t="s">
        <v>27</v>
      </c>
      <c r="C50" s="38"/>
      <c r="D50" s="38" t="str">
        <f>IF(proforma!D48&lt;&gt;"",(proforma!D48),"")</f>
        <v/>
      </c>
      <c r="E50" s="39"/>
      <c r="F50" s="39"/>
    </row>
    <row r="51" spans="2:6" ht="18.75" x14ac:dyDescent="0.3">
      <c r="B51" s="40" t="str">
        <f>IF(proforma!B49&lt;&gt;"",(proforma!B49),"")</f>
        <v>21% IVA</v>
      </c>
      <c r="C51" s="40"/>
      <c r="D51" s="40"/>
      <c r="E51" s="42"/>
      <c r="F51" s="42"/>
    </row>
    <row r="52" spans="2:6" s="43" customFormat="1" ht="21" x14ac:dyDescent="0.35">
      <c r="B52" s="80" t="s">
        <v>29</v>
      </c>
      <c r="C52" s="80"/>
      <c r="D52" s="80"/>
      <c r="E52" s="81"/>
      <c r="F52" s="81"/>
    </row>
    <row r="53" spans="2:6" ht="12" customHeight="1" x14ac:dyDescent="0.25"/>
    <row r="54" spans="2:6" ht="12" customHeight="1" x14ac:dyDescent="0.25"/>
    <row r="55" spans="2:6" ht="23.25" x14ac:dyDescent="0.35">
      <c r="B55" s="6" t="s">
        <v>30</v>
      </c>
    </row>
    <row r="56" spans="2:6" ht="12" customHeight="1" x14ac:dyDescent="0.25"/>
    <row r="57" spans="2:6" x14ac:dyDescent="0.25">
      <c r="B57" s="46" t="s">
        <v>31</v>
      </c>
      <c r="C57" s="46" t="str">
        <f>proforma!C55</f>
        <v>Transferencia</v>
      </c>
      <c r="D57" s="46"/>
      <c r="E57" s="47"/>
      <c r="F57" s="47"/>
    </row>
    <row r="58" spans="2:6" x14ac:dyDescent="0.25">
      <c r="B58" s="46" t="s">
        <v>33</v>
      </c>
      <c r="C58" s="48" t="str">
        <f>proforma!C56</f>
        <v>Banco Sabadell  IBAN: ES14 0081 0286 8800 0184 3288</v>
      </c>
      <c r="D58" s="48"/>
      <c r="E58" s="49"/>
      <c r="F58" s="47"/>
    </row>
    <row r="59" spans="2:6" x14ac:dyDescent="0.25">
      <c r="B59" s="46" t="s">
        <v>35</v>
      </c>
      <c r="C59" s="46" t="str">
        <f>proforma!C57</f>
        <v>portes pagados</v>
      </c>
      <c r="D59" s="46"/>
      <c r="E59" s="47"/>
      <c r="F59" s="47"/>
    </row>
    <row r="60" spans="2:6" x14ac:dyDescent="0.25">
      <c r="B60" s="50" t="s">
        <v>37</v>
      </c>
      <c r="C60" s="82" t="str">
        <f>IF(proforma!C58&lt;&gt;"",(proforma!C58),"")</f>
        <v/>
      </c>
      <c r="D60" s="50"/>
      <c r="E60" s="52"/>
      <c r="F60" s="52"/>
    </row>
    <row r="61" spans="2:6" ht="12" customHeight="1" x14ac:dyDescent="0.25"/>
    <row r="62" spans="2:6" ht="12" customHeight="1" x14ac:dyDescent="0.25"/>
    <row r="63" spans="2:6" ht="18.75" x14ac:dyDescent="0.3">
      <c r="B63" s="40" t="s">
        <v>38</v>
      </c>
    </row>
    <row r="64" spans="2:6" ht="12" customHeight="1" x14ac:dyDescent="0.25">
      <c r="B64" s="1" t="s">
        <v>55</v>
      </c>
      <c r="E64" s="53"/>
      <c r="F64" s="54" t="s">
        <v>40</v>
      </c>
    </row>
    <row r="65" spans="2:6" ht="12.75" customHeight="1" x14ac:dyDescent="0.25">
      <c r="B65" s="1" t="s">
        <v>41</v>
      </c>
      <c r="E65" s="53"/>
      <c r="F65" s="54" t="s">
        <v>43</v>
      </c>
    </row>
    <row r="66" spans="2:6" ht="13.5" customHeight="1" x14ac:dyDescent="0.25">
      <c r="B66" s="1" t="s">
        <v>42</v>
      </c>
      <c r="F66" s="199" t="s">
        <v>44</v>
      </c>
    </row>
    <row r="67" spans="2:6" x14ac:dyDescent="0.25">
      <c r="F67" s="1"/>
    </row>
  </sheetData>
  <hyperlinks>
    <hyperlink ref="F65" r:id="rId1" xr:uid="{00000000-0004-0000-0200-000000000000}"/>
    <hyperlink ref="F66" r:id="rId2" xr:uid="{00000000-0004-0000-0200-000001000000}"/>
  </hyperlinks>
  <pageMargins left="0.70833333333333304" right="0.70833333333333304" top="0.74791666666666701" bottom="0.74791666666666701" header="0.511811023622047" footer="0.511811023622047"/>
  <pageSetup paperSize="9" fitToWidth="0" orientation="portrait" horizontalDpi="300" verticalDpi="30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4:AMJ65"/>
  <sheetViews>
    <sheetView zoomScaleNormal="100" workbookViewId="0">
      <selection activeCell="E10" sqref="E10"/>
    </sheetView>
  </sheetViews>
  <sheetFormatPr baseColWidth="10" defaultColWidth="11.42578125" defaultRowHeight="15.75" x14ac:dyDescent="0.25"/>
  <cols>
    <col min="1" max="1" width="3.140625" style="1" customWidth="1"/>
    <col min="2" max="2" width="20.85546875" style="1" customWidth="1"/>
    <col min="3" max="3" width="37.140625" style="1" customWidth="1"/>
    <col min="4" max="4" width="10.85546875" style="1" customWidth="1"/>
    <col min="5" max="5" width="23.5703125" style="2" customWidth="1"/>
    <col min="6" max="6" width="13" style="2" customWidth="1"/>
    <col min="7" max="7" width="6.85546875" style="1" customWidth="1"/>
    <col min="8" max="1024" width="11.42578125" style="1"/>
  </cols>
  <sheetData>
    <row r="4" spans="1:6" ht="26.25" x14ac:dyDescent="0.4">
      <c r="A4" s="85"/>
      <c r="B4" s="85"/>
      <c r="C4" s="85"/>
      <c r="D4" s="85"/>
      <c r="E4" s="86" t="s">
        <v>56</v>
      </c>
      <c r="F4" s="87"/>
    </row>
    <row r="5" spans="1:6" ht="21" x14ac:dyDescent="0.35">
      <c r="A5" s="85"/>
      <c r="B5" s="85"/>
      <c r="C5" s="85"/>
      <c r="D5" s="85"/>
      <c r="E5" s="88" t="s">
        <v>57</v>
      </c>
      <c r="F5" s="87"/>
    </row>
    <row r="6" spans="1:6" ht="21" x14ac:dyDescent="0.35">
      <c r="A6" s="85"/>
      <c r="B6" s="85"/>
      <c r="C6" s="85"/>
      <c r="D6" s="85"/>
      <c r="E6" s="88" t="str">
        <f>proforma!D6</f>
        <v>FECHA:26/12/2025</v>
      </c>
      <c r="F6" s="87"/>
    </row>
    <row r="7" spans="1:6" ht="21" x14ac:dyDescent="0.35">
      <c r="A7" s="85"/>
      <c r="B7" s="85"/>
      <c r="C7" s="85"/>
      <c r="D7" s="85"/>
      <c r="E7" s="89" t="s">
        <v>58</v>
      </c>
      <c r="F7" s="90" t="str">
        <f>proforma!D5</f>
        <v>PROFORMA: 291225462RNM</v>
      </c>
    </row>
    <row r="8" spans="1:6" ht="23.25" x14ac:dyDescent="0.35">
      <c r="A8" s="85"/>
      <c r="B8" s="91" t="s">
        <v>2</v>
      </c>
      <c r="C8" s="88"/>
      <c r="D8" s="92"/>
      <c r="E8" s="87"/>
      <c r="F8" s="87"/>
    </row>
    <row r="9" spans="1:6" ht="18.75" x14ac:dyDescent="0.3">
      <c r="A9" s="85"/>
      <c r="B9" s="93" t="s">
        <v>3</v>
      </c>
      <c r="C9" s="94" t="str">
        <f>IF(proforma!C9&lt;&gt;"",(proforma!C9),"")</f>
        <v/>
      </c>
      <c r="D9" s="93" t="s">
        <v>4</v>
      </c>
      <c r="E9" s="95" t="str">
        <f>IF(proforma!E9&lt;&gt;"",(proforma!E9),"")</f>
        <v/>
      </c>
      <c r="F9" s="96"/>
    </row>
    <row r="10" spans="1:6" ht="18.75" x14ac:dyDescent="0.3">
      <c r="A10" s="85"/>
      <c r="B10" s="93" t="s">
        <v>5</v>
      </c>
      <c r="C10" s="94" t="str">
        <f>IF(proforma!C10&lt;&gt;"",(proforma!C10),"")</f>
        <v/>
      </c>
      <c r="D10" s="93" t="s">
        <v>6</v>
      </c>
      <c r="E10" s="97" t="str">
        <f>IF(proforma!E10&lt;&gt;"",(proforma!E10),"")</f>
        <v/>
      </c>
      <c r="F10" s="96"/>
    </row>
    <row r="11" spans="1:6" ht="18.75" x14ac:dyDescent="0.3">
      <c r="A11" s="85"/>
      <c r="B11" s="93" t="s">
        <v>7</v>
      </c>
      <c r="C11" s="94" t="str">
        <f>IF(proforma!C11&lt;&gt;"",(proforma!C11),"")</f>
        <v/>
      </c>
      <c r="D11" s="93" t="s">
        <v>8</v>
      </c>
      <c r="E11" s="98" t="str">
        <f>IF(proforma!E11&lt;&gt;"",(proforma!E11),"")</f>
        <v/>
      </c>
      <c r="F11" s="96"/>
    </row>
    <row r="12" spans="1:6" ht="18.75" x14ac:dyDescent="0.3">
      <c r="A12" s="85"/>
      <c r="B12" s="93" t="s">
        <v>9</v>
      </c>
      <c r="C12" s="94" t="str">
        <f>IF(proforma!C12&lt;&gt;"",(proforma!C12),"")</f>
        <v/>
      </c>
      <c r="D12" s="93" t="s">
        <v>10</v>
      </c>
      <c r="E12" s="95" t="str">
        <f>IF(proforma!E12&lt;&gt;"",(proforma!E12),"")</f>
        <v/>
      </c>
      <c r="F12" s="96"/>
    </row>
    <row r="13" spans="1:6" ht="18.75" x14ac:dyDescent="0.3">
      <c r="A13" s="85"/>
      <c r="B13" s="93" t="s">
        <v>11</v>
      </c>
      <c r="C13" s="93" t="str">
        <f>IF(proforma!C13&lt;&gt;"",(proforma!C13),"")</f>
        <v/>
      </c>
      <c r="D13" s="93" t="s">
        <v>12</v>
      </c>
      <c r="E13" s="99" t="str">
        <f>IF(proforma!E13&lt;&gt;"",(proforma!E13),"")</f>
        <v/>
      </c>
      <c r="F13" s="96"/>
    </row>
    <row r="14" spans="1:6" ht="18.75" x14ac:dyDescent="0.3">
      <c r="A14" s="85"/>
      <c r="B14" s="100"/>
      <c r="C14" s="100"/>
      <c r="D14" s="100"/>
      <c r="E14" s="101" t="str">
        <f>IF(proforma!E14&lt;&gt;"",(proforma!E14),"")</f>
        <v/>
      </c>
      <c r="F14" s="102"/>
    </row>
    <row r="15" spans="1:6" ht="23.25" x14ac:dyDescent="0.35">
      <c r="A15" s="85"/>
      <c r="B15" s="91" t="s">
        <v>13</v>
      </c>
      <c r="C15" s="92"/>
      <c r="D15" s="92"/>
      <c r="E15" s="103"/>
      <c r="F15" s="87"/>
    </row>
    <row r="16" spans="1:6" x14ac:dyDescent="0.25">
      <c r="A16" s="85"/>
      <c r="B16" s="92"/>
      <c r="C16" s="92"/>
      <c r="D16" s="92"/>
      <c r="E16" s="87"/>
      <c r="F16" s="87"/>
    </row>
    <row r="17" spans="1:6" s="17" customFormat="1" ht="21" x14ac:dyDescent="0.35">
      <c r="A17" s="104"/>
      <c r="B17" s="105" t="s">
        <v>15</v>
      </c>
      <c r="C17" s="105"/>
      <c r="D17" s="106" t="s">
        <v>16</v>
      </c>
      <c r="E17" s="107" t="s">
        <v>17</v>
      </c>
      <c r="F17" s="107" t="s">
        <v>18</v>
      </c>
    </row>
    <row r="18" spans="1:6" x14ac:dyDescent="0.25">
      <c r="A18" s="85"/>
      <c r="B18" s="21"/>
      <c r="C18" s="21"/>
      <c r="D18" s="22"/>
      <c r="E18" s="23"/>
      <c r="F18" s="108" t="str">
        <f>IF(D18&lt;&gt;"",D18*E18,"")</f>
        <v/>
      </c>
    </row>
    <row r="19" spans="1:6" x14ac:dyDescent="0.25">
      <c r="A19" s="85"/>
      <c r="B19" s="26" t="str">
        <f>IF(proforma!B17&lt;&gt;"",(proforma!B17),"")</f>
        <v>DENOMINACION</v>
      </c>
      <c r="C19" s="26" t="str">
        <f>IF(proforma!C17&lt;&gt;"",(proforma!C17),"")</f>
        <v/>
      </c>
      <c r="D19" s="27"/>
      <c r="E19" s="109"/>
      <c r="F19" s="109"/>
    </row>
    <row r="20" spans="1:6" x14ac:dyDescent="0.25">
      <c r="A20" s="85"/>
      <c r="B20" s="26" t="str">
        <f>IF(proforma!B19&lt;&gt;"",(proforma!B19),"")</f>
        <v/>
      </c>
      <c r="C20" s="26" t="str">
        <f>IF(proforma!C19&lt;&gt;"",(proforma!C19),"")</f>
        <v/>
      </c>
      <c r="D20" s="27"/>
      <c r="E20" s="109" t="str">
        <f>IF(proforma!E19&lt;&gt;"",(proforma!E19),"")</f>
        <v/>
      </c>
      <c r="F20" s="109"/>
    </row>
    <row r="21" spans="1:6" x14ac:dyDescent="0.25">
      <c r="A21" s="85"/>
      <c r="B21" s="26" t="str">
        <f>IF(proforma!B20&lt;&gt;"",(proforma!B20),"")</f>
        <v/>
      </c>
      <c r="C21" s="26" t="str">
        <f>IF(proforma!C20&lt;&gt;"",(proforma!C20),"")</f>
        <v/>
      </c>
      <c r="D21" s="27" t="str">
        <f>IF(proforma!D20&lt;&gt;"",(proforma!D20),"")</f>
        <v/>
      </c>
      <c r="E21" s="109" t="str">
        <f>IF(proforma!E20&lt;&gt;"",(proforma!E20),"")</f>
        <v/>
      </c>
      <c r="F21" s="28" t="str">
        <f t="shared" ref="F21:F42" si="0">IF(D21&lt;&gt;"",D21*E21,"")</f>
        <v/>
      </c>
    </row>
    <row r="22" spans="1:6" x14ac:dyDescent="0.25">
      <c r="A22" s="85"/>
      <c r="B22" s="26" t="str">
        <f>IF(proforma!B21&lt;&gt;"",(proforma!B21),"")</f>
        <v/>
      </c>
      <c r="C22" s="26" t="str">
        <f>IF(proforma!C21&lt;&gt;"",(proforma!C21),"")</f>
        <v/>
      </c>
      <c r="D22" s="27" t="str">
        <f>IF(proforma!D21&lt;&gt;"",(proforma!D21),"")</f>
        <v/>
      </c>
      <c r="E22" s="109" t="str">
        <f>IF(proforma!E21&lt;&gt;"",(proforma!E21),"")</f>
        <v/>
      </c>
      <c r="F22" s="109" t="str">
        <f t="shared" si="0"/>
        <v/>
      </c>
    </row>
    <row r="23" spans="1:6" x14ac:dyDescent="0.25">
      <c r="A23" s="85"/>
      <c r="B23" s="26" t="str">
        <f>IF(proforma!B22&lt;&gt;"",(proforma!B22),"")</f>
        <v/>
      </c>
      <c r="C23" s="26" t="str">
        <f>IF(proforma!C22&lt;&gt;"",(proforma!C22),"")</f>
        <v/>
      </c>
      <c r="D23" s="27" t="str">
        <f>IF(proforma!D22&lt;&gt;"",(proforma!D22),"")</f>
        <v/>
      </c>
      <c r="E23" s="109" t="str">
        <f>IF(proforma!E22&lt;&gt;"",(proforma!E22),"")</f>
        <v/>
      </c>
      <c r="F23" s="109" t="str">
        <f t="shared" si="0"/>
        <v/>
      </c>
    </row>
    <row r="24" spans="1:6" x14ac:dyDescent="0.25">
      <c r="A24" s="85"/>
      <c r="B24" s="26" t="str">
        <f>IF(proforma!B23&lt;&gt;"",(proforma!B23),"")</f>
        <v/>
      </c>
      <c r="C24" s="26" t="str">
        <f>IF(proforma!C23&lt;&gt;"",(proforma!C23),"")</f>
        <v/>
      </c>
      <c r="D24" s="27" t="str">
        <f>IF(proforma!D23&lt;&gt;"",(proforma!D23),"")</f>
        <v/>
      </c>
      <c r="E24" s="109" t="str">
        <f>IF(proforma!E23&lt;&gt;"",(proforma!E23),"")</f>
        <v/>
      </c>
      <c r="F24" s="109" t="str">
        <f t="shared" si="0"/>
        <v/>
      </c>
    </row>
    <row r="25" spans="1:6" x14ac:dyDescent="0.25">
      <c r="A25" s="85"/>
      <c r="B25" s="26" t="str">
        <f>IF(proforma!B24&lt;&gt;"",(proforma!B24),"")</f>
        <v/>
      </c>
      <c r="C25" s="26" t="str">
        <f>IF(proforma!C24&lt;&gt;"",(proforma!C24),"")</f>
        <v/>
      </c>
      <c r="D25" s="27" t="str">
        <f>IF(proforma!D24&lt;&gt;"",(proforma!D24),"")</f>
        <v/>
      </c>
      <c r="E25" s="109" t="str">
        <f>IF(proforma!E24&lt;&gt;"",(proforma!E24),"")</f>
        <v/>
      </c>
      <c r="F25" s="109" t="str">
        <f t="shared" si="0"/>
        <v/>
      </c>
    </row>
    <row r="26" spans="1:6" x14ac:dyDescent="0.25">
      <c r="A26" s="85"/>
      <c r="B26" s="26" t="str">
        <f>IF(proforma!B25&lt;&gt;"",(proforma!B25),"")</f>
        <v/>
      </c>
      <c r="C26" s="26" t="str">
        <f>IF(proforma!C25&lt;&gt;"",(proforma!C25),"")</f>
        <v/>
      </c>
      <c r="D26" s="27" t="str">
        <f>IF(proforma!D25&lt;&gt;"",(proforma!D25),"")</f>
        <v/>
      </c>
      <c r="E26" s="109" t="str">
        <f>IF(proforma!E25&lt;&gt;"",(proforma!E25),"")</f>
        <v/>
      </c>
      <c r="F26" s="109" t="str">
        <f t="shared" si="0"/>
        <v/>
      </c>
    </row>
    <row r="27" spans="1:6" x14ac:dyDescent="0.25">
      <c r="A27" s="85"/>
      <c r="B27" s="26" t="str">
        <f>IF(proforma!B26&lt;&gt;"",(proforma!B26),"")</f>
        <v/>
      </c>
      <c r="C27" s="26" t="str">
        <f>IF(proforma!C26&lt;&gt;"",(proforma!C26),"")</f>
        <v/>
      </c>
      <c r="D27" s="27" t="str">
        <f>IF(proforma!D26&lt;&gt;"",(proforma!D26),"")</f>
        <v/>
      </c>
      <c r="E27" s="109" t="str">
        <f>IF(proforma!E26&lt;&gt;"",(proforma!E26),"")</f>
        <v/>
      </c>
      <c r="F27" s="109" t="str">
        <f t="shared" si="0"/>
        <v/>
      </c>
    </row>
    <row r="28" spans="1:6" x14ac:dyDescent="0.25">
      <c r="A28" s="85"/>
      <c r="B28" s="26" t="str">
        <f>IF(proforma!B27&lt;&gt;"",(proforma!B27),"")</f>
        <v/>
      </c>
      <c r="C28" s="26" t="str">
        <f>IF(proforma!C27&lt;&gt;"",(proforma!C27),"")</f>
        <v/>
      </c>
      <c r="D28" s="27" t="str">
        <f>IF(proforma!D27&lt;&gt;"",(proforma!D27),"")</f>
        <v/>
      </c>
      <c r="E28" s="109" t="str">
        <f>IF(proforma!E27&lt;&gt;"",(proforma!E27),"")</f>
        <v/>
      </c>
      <c r="F28" s="109" t="str">
        <f t="shared" si="0"/>
        <v/>
      </c>
    </row>
    <row r="29" spans="1:6" x14ac:dyDescent="0.25">
      <c r="A29" s="85"/>
      <c r="B29" s="26" t="str">
        <f>IF(proforma!B28&lt;&gt;"",(proforma!B28),"")</f>
        <v/>
      </c>
      <c r="C29" s="26" t="str">
        <f>IF(proforma!C28&lt;&gt;"",(proforma!C28),"")</f>
        <v/>
      </c>
      <c r="D29" s="27" t="str">
        <f>IF(proforma!D28&lt;&gt;"",(proforma!D28),"")</f>
        <v/>
      </c>
      <c r="E29" s="109" t="str">
        <f>IF(proforma!E28&lt;&gt;"",(proforma!E28),"")</f>
        <v/>
      </c>
      <c r="F29" s="109" t="str">
        <f t="shared" si="0"/>
        <v/>
      </c>
    </row>
    <row r="30" spans="1:6" x14ac:dyDescent="0.25">
      <c r="A30" s="85"/>
      <c r="B30" s="26" t="str">
        <f>IF(proforma!B29&lt;&gt;"",(proforma!B29),"")</f>
        <v/>
      </c>
      <c r="C30" s="26" t="str">
        <f>IF(proforma!C29&lt;&gt;"",(proforma!C29),"")</f>
        <v/>
      </c>
      <c r="D30" s="27" t="str">
        <f>IF(proforma!D29&lt;&gt;"",(proforma!D29),"")</f>
        <v/>
      </c>
      <c r="E30" s="109" t="str">
        <f>IF(proforma!E29&lt;&gt;"",(proforma!E29),"")</f>
        <v/>
      </c>
      <c r="F30" s="109" t="str">
        <f t="shared" si="0"/>
        <v/>
      </c>
    </row>
    <row r="31" spans="1:6" x14ac:dyDescent="0.25">
      <c r="A31" s="85"/>
      <c r="B31" s="26" t="str">
        <f>IF(proforma!B30&lt;&gt;"",(proforma!B30),"")</f>
        <v/>
      </c>
      <c r="C31" s="26" t="str">
        <f>IF(proforma!C30&lt;&gt;"",(proforma!C30),"")</f>
        <v/>
      </c>
      <c r="D31" s="27" t="str">
        <f>IF(proforma!D30&lt;&gt;"",(proforma!D30),"")</f>
        <v/>
      </c>
      <c r="E31" s="109" t="str">
        <f>IF(proforma!E30&lt;&gt;"",(proforma!E30),"")</f>
        <v/>
      </c>
      <c r="F31" s="109" t="str">
        <f t="shared" si="0"/>
        <v/>
      </c>
    </row>
    <row r="32" spans="1:6" x14ac:dyDescent="0.25">
      <c r="A32" s="85"/>
      <c r="B32" s="26" t="str">
        <f>IF(proforma!B31&lt;&gt;"",(proforma!B31),"")</f>
        <v/>
      </c>
      <c r="C32" s="26" t="str">
        <f>IF(proforma!C31&lt;&gt;"",(proforma!C31),"")</f>
        <v/>
      </c>
      <c r="D32" s="27" t="str">
        <f>IF(proforma!D31&lt;&gt;"",(proforma!D31),"")</f>
        <v/>
      </c>
      <c r="E32" s="109" t="str">
        <f>IF(proforma!E31&lt;&gt;"",(proforma!E31),"")</f>
        <v/>
      </c>
      <c r="F32" s="109" t="str">
        <f t="shared" si="0"/>
        <v/>
      </c>
    </row>
    <row r="33" spans="1:6" x14ac:dyDescent="0.25">
      <c r="A33" s="85"/>
      <c r="B33" s="26" t="str">
        <f>IF(proforma!B32&lt;&gt;"",(proforma!B32),"")</f>
        <v/>
      </c>
      <c r="C33" s="26" t="str">
        <f>IF(proforma!C32&lt;&gt;"",(proforma!C32),"")</f>
        <v/>
      </c>
      <c r="D33" s="27" t="str">
        <f>IF(proforma!D32&lt;&gt;"",(proforma!D32),"")</f>
        <v/>
      </c>
      <c r="E33" s="109" t="str">
        <f>IF(proforma!E32&lt;&gt;"",(proforma!E32),"")</f>
        <v/>
      </c>
      <c r="F33" s="109" t="str">
        <f t="shared" si="0"/>
        <v/>
      </c>
    </row>
    <row r="34" spans="1:6" x14ac:dyDescent="0.25">
      <c r="A34" s="85"/>
      <c r="B34" s="26" t="str">
        <f>IF(proforma!B33&lt;&gt;"",(proforma!B33),"")</f>
        <v/>
      </c>
      <c r="C34" s="26" t="str">
        <f>IF(proforma!C33&lt;&gt;"",(proforma!C33),"")</f>
        <v/>
      </c>
      <c r="D34" s="27" t="str">
        <f>IF(proforma!D33&lt;&gt;"",(proforma!D33),"")</f>
        <v/>
      </c>
      <c r="E34" s="109" t="str">
        <f>IF(proforma!E33&lt;&gt;"",(proforma!E33),"")</f>
        <v/>
      </c>
      <c r="F34" s="109" t="str">
        <f t="shared" si="0"/>
        <v/>
      </c>
    </row>
    <row r="35" spans="1:6" x14ac:dyDescent="0.25">
      <c r="A35" s="85"/>
      <c r="B35" s="26" t="str">
        <f>IF(proforma!B34&lt;&gt;"",(proforma!B34),"")</f>
        <v/>
      </c>
      <c r="C35" s="26" t="str">
        <f>IF(proforma!C34&lt;&gt;"",(proforma!C34),"")</f>
        <v/>
      </c>
      <c r="D35" s="27" t="str">
        <f>IF(proforma!D34&lt;&gt;"",(proforma!D34),"")</f>
        <v/>
      </c>
      <c r="E35" s="109" t="str">
        <f>IF(proforma!E34&lt;&gt;"",(proforma!E34),"")</f>
        <v/>
      </c>
      <c r="F35" s="109" t="str">
        <f t="shared" si="0"/>
        <v/>
      </c>
    </row>
    <row r="36" spans="1:6" x14ac:dyDescent="0.25">
      <c r="A36" s="85"/>
      <c r="B36" s="26" t="str">
        <f>IF(proforma!B35&lt;&gt;"",(proforma!B35),"")</f>
        <v/>
      </c>
      <c r="C36" s="26" t="str">
        <f>IF(proforma!C35&lt;&gt;"",(proforma!C35),"")</f>
        <v/>
      </c>
      <c r="D36" s="27" t="str">
        <f>IF(proforma!D35&lt;&gt;"",(proforma!D35),"")</f>
        <v/>
      </c>
      <c r="E36" s="109" t="str">
        <f>IF(proforma!E35&lt;&gt;"",(proforma!E35),"")</f>
        <v/>
      </c>
      <c r="F36" s="109" t="str">
        <f t="shared" si="0"/>
        <v/>
      </c>
    </row>
    <row r="37" spans="1:6" x14ac:dyDescent="0.25">
      <c r="A37" s="85"/>
      <c r="B37" s="26" t="str">
        <f>IF(proforma!B36&lt;&gt;"",(proforma!B36),"")</f>
        <v/>
      </c>
      <c r="C37" s="26" t="str">
        <f>IF(proforma!C36&lt;&gt;"",(proforma!C36),"")</f>
        <v/>
      </c>
      <c r="D37" s="27" t="str">
        <f>IF(proforma!D36&lt;&gt;"",(proforma!D36),"")</f>
        <v/>
      </c>
      <c r="E37" s="109" t="str">
        <f>IF(proforma!E36&lt;&gt;"",(proforma!E36),"")</f>
        <v/>
      </c>
      <c r="F37" s="109" t="str">
        <f t="shared" si="0"/>
        <v/>
      </c>
    </row>
    <row r="38" spans="1:6" x14ac:dyDescent="0.25">
      <c r="A38" s="85"/>
      <c r="B38" s="26" t="str">
        <f>IF(proforma!B37&lt;&gt;"",(proforma!B37),"")</f>
        <v/>
      </c>
      <c r="C38" s="26" t="str">
        <f>IF(proforma!C37&lt;&gt;"",(proforma!C37),"")</f>
        <v/>
      </c>
      <c r="D38" s="27" t="str">
        <f>IF(proforma!D37&lt;&gt;"",(proforma!D37),"")</f>
        <v/>
      </c>
      <c r="E38" s="109" t="str">
        <f>IF(proforma!E37&lt;&gt;"",(proforma!E37),"")</f>
        <v/>
      </c>
      <c r="F38" s="109" t="str">
        <f t="shared" si="0"/>
        <v/>
      </c>
    </row>
    <row r="39" spans="1:6" x14ac:dyDescent="0.25">
      <c r="A39" s="85"/>
      <c r="B39" s="26" t="str">
        <f>IF(proforma!B38&lt;&gt;"",(proforma!B38),"")</f>
        <v/>
      </c>
      <c r="C39" s="26" t="str">
        <f>IF(proforma!C38&lt;&gt;"",(proforma!C38),"")</f>
        <v/>
      </c>
      <c r="D39" s="27" t="str">
        <f>IF(proforma!D38&lt;&gt;"",(proforma!D38),"")</f>
        <v/>
      </c>
      <c r="E39" s="109" t="str">
        <f>IF(proforma!E38&lt;&gt;"",(proforma!E38),"")</f>
        <v/>
      </c>
      <c r="F39" s="109" t="str">
        <f t="shared" si="0"/>
        <v/>
      </c>
    </row>
    <row r="40" spans="1:6" x14ac:dyDescent="0.25">
      <c r="A40" s="85"/>
      <c r="B40" s="26" t="str">
        <f>IF(proforma!B39&lt;&gt;"",(proforma!B39),"")</f>
        <v/>
      </c>
      <c r="C40" s="26" t="str">
        <f>IF(proforma!C39&lt;&gt;"",(proforma!C39),"")</f>
        <v/>
      </c>
      <c r="D40" s="27" t="str">
        <f>IF(proforma!D39&lt;&gt;"",(proforma!D39),"")</f>
        <v/>
      </c>
      <c r="E40" s="109" t="str">
        <f>IF(proforma!E39&lt;&gt;"",(proforma!E39),"")</f>
        <v/>
      </c>
      <c r="F40" s="109" t="str">
        <f t="shared" si="0"/>
        <v/>
      </c>
    </row>
    <row r="41" spans="1:6" x14ac:dyDescent="0.25">
      <c r="A41" s="85"/>
      <c r="B41" s="26" t="str">
        <f>IF(proforma!B40&lt;&gt;"",(proforma!B40),"")</f>
        <v/>
      </c>
      <c r="C41" s="26" t="str">
        <f>IF(proforma!C40&lt;&gt;"",(proforma!C40),"")</f>
        <v/>
      </c>
      <c r="D41" s="27" t="str">
        <f>IF(proforma!D40&lt;&gt;"",(proforma!D40),"")</f>
        <v/>
      </c>
      <c r="E41" s="109" t="str">
        <f>IF(proforma!E40&lt;&gt;"",(proforma!E40),"")</f>
        <v/>
      </c>
      <c r="F41" s="109" t="str">
        <f t="shared" si="0"/>
        <v/>
      </c>
    </row>
    <row r="42" spans="1:6" x14ac:dyDescent="0.25">
      <c r="A42" s="85"/>
      <c r="B42" s="26" t="str">
        <f>IF(proforma!B41&lt;&gt;"",(proforma!B41),"")</f>
        <v/>
      </c>
      <c r="C42" s="26" t="str">
        <f>IF(proforma!C41&lt;&gt;"",(proforma!C41),"")</f>
        <v/>
      </c>
      <c r="D42" s="27" t="str">
        <f>IF(proforma!D41&lt;&gt;"",(proforma!D41),"")</f>
        <v/>
      </c>
      <c r="E42" s="109" t="str">
        <f>IF(proforma!E41&lt;&gt;"",(proforma!E41),"")</f>
        <v/>
      </c>
      <c r="F42" s="109" t="str">
        <f t="shared" si="0"/>
        <v/>
      </c>
    </row>
    <row r="43" spans="1:6" ht="18.75" x14ac:dyDescent="0.3">
      <c r="A43" s="85"/>
      <c r="B43" s="94" t="s">
        <v>19</v>
      </c>
      <c r="C43" s="94"/>
      <c r="D43" s="110"/>
      <c r="E43" s="111"/>
      <c r="F43" s="111">
        <f>SUM(F18:F42)</f>
        <v>0</v>
      </c>
    </row>
    <row r="44" spans="1:6" ht="18.75" x14ac:dyDescent="0.3">
      <c r="A44" s="85"/>
      <c r="B44" s="112" t="str">
        <f>proforma!B43</f>
        <v>Descuento %</v>
      </c>
      <c r="C44" s="112"/>
      <c r="D44" s="113">
        <f>proforma!D43</f>
        <v>50</v>
      </c>
      <c r="E44" s="114"/>
      <c r="F44" s="114">
        <f>proforma!F43</f>
        <v>0</v>
      </c>
    </row>
    <row r="45" spans="1:6" ht="18.75" x14ac:dyDescent="0.3">
      <c r="A45" s="85"/>
      <c r="B45" s="115" t="str">
        <f>IF(proforma!B44&lt;&gt;"",(proforma!B44),"")</f>
        <v>TOTAL BASE IMPONIBLE PINTURAS</v>
      </c>
      <c r="C45" s="115"/>
      <c r="D45" s="115" t="str">
        <f>IF(proforma!D44&lt;&gt;"",(proforma!D44),"")</f>
        <v/>
      </c>
      <c r="E45" s="116"/>
      <c r="F45" s="116">
        <f>SUM(F43:F44)</f>
        <v>0</v>
      </c>
    </row>
    <row r="46" spans="1:6" ht="18.75" x14ac:dyDescent="0.3">
      <c r="A46" s="85"/>
      <c r="B46" s="117" t="str">
        <f>IF(proforma!B45&lt;&gt;"",(proforma!B45),"")</f>
        <v>Portes Península</v>
      </c>
      <c r="C46" s="117"/>
      <c r="D46" s="117">
        <f>IF(proforma!D45&lt;&gt;"",(proforma!D45),"")</f>
        <v>1</v>
      </c>
      <c r="E46" s="118"/>
      <c r="F46" s="118">
        <f>proforma!F45</f>
        <v>17</v>
      </c>
    </row>
    <row r="47" spans="1:6" ht="18.75" x14ac:dyDescent="0.3">
      <c r="A47" s="85"/>
      <c r="B47" s="117" t="str">
        <f>IF(proforma!B46&lt;&gt;"",(proforma!B46),"")</f>
        <v>MANO DE OBRA</v>
      </c>
      <c r="C47" s="117"/>
      <c r="D47" s="117" t="str">
        <f>IF(proforma!D46&lt;&gt;"",(proforma!D46),"")</f>
        <v/>
      </c>
      <c r="E47" s="118" t="str">
        <f>IF(proforma!E46&lt;&gt;"",(proforma!E46),"")</f>
        <v/>
      </c>
      <c r="F47" s="118" t="str">
        <f>IF(D47&lt;&gt;"",(D47*E47),"")</f>
        <v/>
      </c>
    </row>
    <row r="48" spans="1:6" ht="18.75" x14ac:dyDescent="0.3">
      <c r="A48" s="85"/>
      <c r="B48" s="112" t="str">
        <f>IF(proforma!B47&lt;&gt;"",(proforma!B47),"")</f>
        <v>Otros Varios</v>
      </c>
      <c r="C48" s="112"/>
      <c r="D48" s="112" t="str">
        <f>IF(proforma!D47&lt;&gt;"",(proforma!D47),"")</f>
        <v/>
      </c>
      <c r="E48" s="114" t="str">
        <f>IF(proforma!E47&lt;&gt;"",(proforma!E47),"")</f>
        <v/>
      </c>
      <c r="F48" s="114" t="str">
        <f>IF(D48&lt;&gt;"",(D48*E48),"")</f>
        <v/>
      </c>
    </row>
    <row r="49" spans="1:6" ht="18.75" x14ac:dyDescent="0.3">
      <c r="A49" s="85"/>
      <c r="B49" s="115" t="str">
        <f>IF(proforma!B48&lt;&gt;"",(proforma!B48),"")</f>
        <v>TOTAL BASE IMPONIBLE</v>
      </c>
      <c r="C49" s="115"/>
      <c r="D49" s="115" t="str">
        <f>IF(proforma!D48&lt;&gt;"",(proforma!D48),"")</f>
        <v/>
      </c>
      <c r="E49" s="116"/>
      <c r="F49" s="116">
        <f>SUM(F45:F48)</f>
        <v>17</v>
      </c>
    </row>
    <row r="50" spans="1:6" ht="18.75" x14ac:dyDescent="0.3">
      <c r="A50" s="85"/>
      <c r="B50" s="117" t="str">
        <f>IF(proforma!B49&lt;&gt;"",(proforma!B49),"")</f>
        <v>21% IVA</v>
      </c>
      <c r="C50" s="117"/>
      <c r="D50" s="117"/>
      <c r="E50" s="118"/>
      <c r="F50" s="118">
        <f>IF(proforma!F49&lt;&gt;"",(proforma!F49),"")</f>
        <v>3.57</v>
      </c>
    </row>
    <row r="51" spans="1:6" s="43" customFormat="1" ht="21" x14ac:dyDescent="0.35">
      <c r="A51" s="119"/>
      <c r="B51" s="120" t="s">
        <v>29</v>
      </c>
      <c r="C51" s="120"/>
      <c r="D51" s="120"/>
      <c r="E51" s="121"/>
      <c r="F51" s="121">
        <f>SUM(F49:F50)</f>
        <v>20.57</v>
      </c>
    </row>
    <row r="52" spans="1:6" ht="12" customHeight="1" x14ac:dyDescent="0.25">
      <c r="A52" s="85"/>
      <c r="B52" s="92"/>
      <c r="C52" s="92"/>
      <c r="D52" s="92"/>
      <c r="E52" s="87"/>
      <c r="F52" s="87"/>
    </row>
    <row r="53" spans="1:6" ht="12" customHeight="1" x14ac:dyDescent="0.25">
      <c r="A53" s="85"/>
      <c r="B53" s="92"/>
      <c r="C53" s="92"/>
      <c r="D53" s="92"/>
      <c r="E53" s="87"/>
      <c r="F53" s="87"/>
    </row>
    <row r="54" spans="1:6" ht="23.25" x14ac:dyDescent="0.35">
      <c r="A54" s="85"/>
      <c r="B54" s="91" t="s">
        <v>30</v>
      </c>
      <c r="C54" s="92"/>
      <c r="D54" s="92"/>
      <c r="E54" s="87"/>
      <c r="F54" s="87"/>
    </row>
    <row r="55" spans="1:6" ht="12" customHeight="1" x14ac:dyDescent="0.25">
      <c r="A55" s="85"/>
      <c r="B55" s="92"/>
      <c r="C55" s="92"/>
      <c r="D55" s="92"/>
      <c r="E55" s="87"/>
      <c r="F55" s="87"/>
    </row>
    <row r="56" spans="1:6" x14ac:dyDescent="0.25">
      <c r="A56" s="85"/>
      <c r="B56" s="122" t="s">
        <v>31</v>
      </c>
      <c r="C56" s="122" t="str">
        <f>proforma!C55</f>
        <v>Transferencia</v>
      </c>
      <c r="D56" s="122"/>
      <c r="E56" s="123"/>
      <c r="F56" s="123"/>
    </row>
    <row r="57" spans="1:6" x14ac:dyDescent="0.25">
      <c r="A57" s="85"/>
      <c r="B57" s="122" t="s">
        <v>33</v>
      </c>
      <c r="C57" s="124" t="str">
        <f>proforma!C56</f>
        <v>Banco Sabadell  IBAN: ES14 0081 0286 8800 0184 3288</v>
      </c>
      <c r="D57" s="124"/>
      <c r="E57" s="125"/>
      <c r="F57" s="123"/>
    </row>
    <row r="58" spans="1:6" x14ac:dyDescent="0.25">
      <c r="A58" s="85"/>
      <c r="B58" s="122" t="s">
        <v>35</v>
      </c>
      <c r="C58" s="122" t="str">
        <f>proforma!C57</f>
        <v>portes pagados</v>
      </c>
      <c r="D58" s="122"/>
      <c r="E58" s="123"/>
      <c r="F58" s="123"/>
    </row>
    <row r="59" spans="1:6" x14ac:dyDescent="0.25">
      <c r="A59" s="85"/>
      <c r="B59" s="126" t="s">
        <v>37</v>
      </c>
      <c r="C59" s="127" t="str">
        <f>IF(proforma!C58&lt;&gt;"",(proforma!C58),"")</f>
        <v/>
      </c>
      <c r="D59" s="126"/>
      <c r="E59" s="128"/>
      <c r="F59" s="128"/>
    </row>
    <row r="60" spans="1:6" ht="12" customHeight="1" x14ac:dyDescent="0.25">
      <c r="A60" s="85"/>
      <c r="B60" s="92"/>
      <c r="C60" s="92"/>
      <c r="D60" s="92"/>
      <c r="E60" s="87"/>
      <c r="F60" s="87"/>
    </row>
    <row r="61" spans="1:6" ht="18.75" x14ac:dyDescent="0.3">
      <c r="A61" s="85"/>
      <c r="B61" s="117" t="s">
        <v>38</v>
      </c>
      <c r="C61" s="129"/>
      <c r="D61" s="129"/>
      <c r="E61" s="87"/>
      <c r="F61" s="87"/>
    </row>
    <row r="62" spans="1:6" ht="12" customHeight="1" x14ac:dyDescent="0.25">
      <c r="A62" s="85"/>
      <c r="B62" s="92" t="s">
        <v>53</v>
      </c>
      <c r="C62" s="129"/>
      <c r="D62" s="129"/>
      <c r="E62" s="130"/>
      <c r="F62" s="131" t="s">
        <v>40</v>
      </c>
    </row>
    <row r="63" spans="1:6" ht="12.75" customHeight="1" x14ac:dyDescent="0.25">
      <c r="A63" s="85"/>
      <c r="B63" s="129" t="s">
        <v>41</v>
      </c>
      <c r="C63" s="129"/>
      <c r="D63" s="129"/>
      <c r="E63" s="130"/>
      <c r="F63" s="131"/>
    </row>
    <row r="64" spans="1:6" ht="13.5" customHeight="1" x14ac:dyDescent="0.25">
      <c r="A64" s="85"/>
      <c r="B64" s="129" t="s">
        <v>42</v>
      </c>
      <c r="C64" s="92"/>
      <c r="D64" s="129"/>
      <c r="E64" s="132" t="s">
        <v>43</v>
      </c>
      <c r="F64" s="92"/>
    </row>
    <row r="65" spans="2:6" x14ac:dyDescent="0.25">
      <c r="B65" s="92"/>
      <c r="C65" s="92"/>
      <c r="D65" s="133"/>
      <c r="E65" s="56" t="s">
        <v>44</v>
      </c>
      <c r="F65" s="133"/>
    </row>
  </sheetData>
  <hyperlinks>
    <hyperlink ref="E64" r:id="rId1" xr:uid="{00000000-0004-0000-0300-000000000000}"/>
    <hyperlink ref="E65" r:id="rId2" xr:uid="{00000000-0004-0000-0300-000001000000}"/>
  </hyperlinks>
  <pageMargins left="0.70833333333333304" right="0.70833333333333304" top="0.74791666666666701" bottom="0.74791666666666701" header="0.511811023622047" footer="0.511811023622047"/>
  <pageSetup paperSize="9" fitToWidth="0" orientation="portrait" horizontalDpi="300" verticalDpi="30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AMJ52"/>
  <sheetViews>
    <sheetView zoomScaleNormal="100" workbookViewId="0">
      <selection activeCell="H46" sqref="H46"/>
    </sheetView>
  </sheetViews>
  <sheetFormatPr baseColWidth="10" defaultColWidth="11.42578125" defaultRowHeight="15.75" x14ac:dyDescent="0.25"/>
  <cols>
    <col min="1" max="1" width="3.140625" style="1" customWidth="1"/>
    <col min="2" max="2" width="30.140625" style="1" customWidth="1"/>
    <col min="3" max="3" width="37.140625" style="1" customWidth="1"/>
    <col min="4" max="4" width="10.85546875" style="1" customWidth="1"/>
    <col min="5" max="5" width="26.5703125" style="2" customWidth="1"/>
    <col min="6" max="6" width="6.85546875" style="1" customWidth="1"/>
    <col min="7" max="1024" width="11.42578125" style="1"/>
  </cols>
  <sheetData>
    <row r="4" spans="1:5" ht="31.5" x14ac:dyDescent="0.5">
      <c r="A4" s="85"/>
      <c r="B4" s="85"/>
      <c r="C4" s="85"/>
      <c r="D4" s="85"/>
      <c r="E4" s="134" t="s">
        <v>59</v>
      </c>
    </row>
    <row r="5" spans="1:5" ht="21" x14ac:dyDescent="0.35">
      <c r="A5" s="85"/>
      <c r="B5" s="85"/>
      <c r="C5" s="85"/>
      <c r="D5" s="85"/>
      <c r="E5" s="88" t="str">
        <f>factura!E5</f>
        <v>Nº:</v>
      </c>
    </row>
    <row r="6" spans="1:5" ht="28.5" x14ac:dyDescent="0.45">
      <c r="A6" s="85"/>
      <c r="B6" s="135" t="s">
        <v>60</v>
      </c>
      <c r="C6" s="92"/>
      <c r="D6" s="92"/>
      <c r="E6" s="88" t="str">
        <f>factura!E6</f>
        <v>FECHA:26/12/2025</v>
      </c>
    </row>
    <row r="7" spans="1:5" ht="21" x14ac:dyDescent="0.35">
      <c r="A7" s="85"/>
      <c r="B7" s="92"/>
      <c r="C7" s="92"/>
      <c r="D7" s="92"/>
      <c r="E7" s="88"/>
    </row>
    <row r="8" spans="1:5" ht="21" x14ac:dyDescent="0.35">
      <c r="A8" s="85"/>
      <c r="B8" s="26" t="s">
        <v>61</v>
      </c>
      <c r="C8" s="88" t="s">
        <v>62</v>
      </c>
      <c r="D8" s="26" t="s">
        <v>63</v>
      </c>
      <c r="E8" s="88" t="s">
        <v>64</v>
      </c>
    </row>
    <row r="9" spans="1:5" x14ac:dyDescent="0.25">
      <c r="A9" s="85"/>
      <c r="B9" s="26" t="s">
        <v>65</v>
      </c>
      <c r="C9" s="92"/>
      <c r="D9" s="92"/>
      <c r="E9" s="87"/>
    </row>
    <row r="10" spans="1:5" x14ac:dyDescent="0.25">
      <c r="A10" s="85"/>
      <c r="B10" s="26"/>
      <c r="C10" s="92"/>
      <c r="D10" s="92"/>
      <c r="E10" s="87"/>
    </row>
    <row r="11" spans="1:5" ht="23.25" x14ac:dyDescent="0.35">
      <c r="A11" s="85"/>
      <c r="B11" s="91" t="s">
        <v>47</v>
      </c>
      <c r="C11" s="92"/>
      <c r="D11" s="92"/>
      <c r="E11" s="87"/>
    </row>
    <row r="12" spans="1:5" x14ac:dyDescent="0.25">
      <c r="A12" s="85"/>
      <c r="B12" s="26"/>
      <c r="C12" s="92"/>
      <c r="D12" s="92"/>
      <c r="E12" s="87"/>
    </row>
    <row r="13" spans="1:5" ht="18.75" x14ac:dyDescent="0.3">
      <c r="A13" s="85"/>
      <c r="B13" s="124" t="s">
        <v>66</v>
      </c>
      <c r="C13" s="136">
        <f>pedido!K17</f>
        <v>0</v>
      </c>
      <c r="D13" s="137"/>
      <c r="E13" s="138"/>
    </row>
    <row r="14" spans="1:5" ht="18.75" x14ac:dyDescent="0.3">
      <c r="A14" s="85"/>
      <c r="B14" s="124" t="s">
        <v>67</v>
      </c>
      <c r="C14" s="136">
        <f>pedido!K15</f>
        <v>0</v>
      </c>
      <c r="D14" s="137"/>
      <c r="E14" s="138"/>
    </row>
    <row r="15" spans="1:5" ht="18.75" x14ac:dyDescent="0.3">
      <c r="A15" s="85"/>
      <c r="B15" s="124" t="s">
        <v>68</v>
      </c>
      <c r="C15" s="136">
        <f>pedido!K16</f>
        <v>0</v>
      </c>
      <c r="D15" s="137"/>
      <c r="E15" s="138"/>
    </row>
    <row r="16" spans="1:5" ht="18.75" x14ac:dyDescent="0.3">
      <c r="A16" s="85"/>
      <c r="B16" s="26" t="s">
        <v>69</v>
      </c>
      <c r="C16" s="139">
        <f>pedido!K18</f>
        <v>0</v>
      </c>
      <c r="D16" s="117"/>
      <c r="E16" s="118"/>
    </row>
    <row r="17" spans="1:5" ht="18.75" x14ac:dyDescent="0.3">
      <c r="A17" s="85"/>
      <c r="B17" s="124" t="s">
        <v>70</v>
      </c>
      <c r="C17" s="136" t="str">
        <f>pedido!K19</f>
        <v>PAGADOS</v>
      </c>
      <c r="D17" s="137"/>
      <c r="E17" s="138"/>
    </row>
    <row r="18" spans="1:5" x14ac:dyDescent="0.25">
      <c r="A18" s="85"/>
      <c r="B18" s="26"/>
      <c r="C18" s="92"/>
      <c r="D18" s="92"/>
      <c r="E18" s="87"/>
    </row>
    <row r="19" spans="1:5" ht="23.25" x14ac:dyDescent="0.35">
      <c r="A19" s="85"/>
      <c r="B19" s="91" t="s">
        <v>71</v>
      </c>
      <c r="C19" s="88"/>
      <c r="D19" s="92"/>
      <c r="E19" s="87"/>
    </row>
    <row r="20" spans="1:5" ht="19.5" customHeight="1" x14ac:dyDescent="0.35">
      <c r="A20" s="85"/>
      <c r="B20" s="91"/>
      <c r="C20" s="88"/>
      <c r="D20" s="92"/>
      <c r="E20" s="87"/>
    </row>
    <row r="21" spans="1:5" ht="18.75" x14ac:dyDescent="0.3">
      <c r="A21" s="85"/>
      <c r="B21" s="93" t="s">
        <v>3</v>
      </c>
      <c r="C21" s="94" t="str">
        <f>pedido!K9</f>
        <v/>
      </c>
      <c r="D21" s="93" t="s">
        <v>4</v>
      </c>
      <c r="E21" s="95" t="str">
        <f>pedido!M9</f>
        <v/>
      </c>
    </row>
    <row r="22" spans="1:5" ht="18.75" x14ac:dyDescent="0.3">
      <c r="A22" s="85"/>
      <c r="B22" s="93" t="s">
        <v>5</v>
      </c>
      <c r="C22" s="94" t="str">
        <f>pedido!K10</f>
        <v/>
      </c>
      <c r="D22" s="93" t="s">
        <v>6</v>
      </c>
      <c r="E22" s="97" t="str">
        <f>pedido!M10</f>
        <v/>
      </c>
    </row>
    <row r="23" spans="1:5" ht="18.75" x14ac:dyDescent="0.3">
      <c r="A23" s="85"/>
      <c r="B23" s="93" t="s">
        <v>7</v>
      </c>
      <c r="C23" s="94" t="str">
        <f>pedido!K11</f>
        <v/>
      </c>
      <c r="D23" s="93" t="s">
        <v>8</v>
      </c>
      <c r="E23" s="98" t="str">
        <f>IF(proforma!E11&lt;&gt;"",(proforma!E11),"")</f>
        <v/>
      </c>
    </row>
    <row r="24" spans="1:5" ht="18.75" x14ac:dyDescent="0.3">
      <c r="A24" s="85"/>
      <c r="B24" s="93" t="s">
        <v>9</v>
      </c>
      <c r="C24" s="94" t="str">
        <f>pedido!K12</f>
        <v/>
      </c>
      <c r="D24" s="93" t="s">
        <v>10</v>
      </c>
      <c r="E24" s="95" t="str">
        <f>pedido!M12</f>
        <v/>
      </c>
    </row>
    <row r="25" spans="1:5" ht="18.75" x14ac:dyDescent="0.3">
      <c r="A25" s="85"/>
      <c r="B25" s="93" t="s">
        <v>11</v>
      </c>
      <c r="C25" s="93" t="str">
        <f>pedido!K13</f>
        <v/>
      </c>
      <c r="D25" s="93" t="s">
        <v>12</v>
      </c>
      <c r="E25" s="95" t="str">
        <f>pedido!M13</f>
        <v/>
      </c>
    </row>
    <row r="26" spans="1:5" s="17" customFormat="1" ht="21" x14ac:dyDescent="0.35">
      <c r="A26" s="104"/>
      <c r="B26" s="105"/>
      <c r="C26" s="105"/>
      <c r="D26" s="106"/>
      <c r="E26" s="107"/>
    </row>
    <row r="27" spans="1:5" ht="23.25" x14ac:dyDescent="0.35">
      <c r="A27" s="85"/>
      <c r="B27" s="140" t="s">
        <v>72</v>
      </c>
      <c r="C27" s="141"/>
      <c r="D27" s="142"/>
      <c r="E27" s="108"/>
    </row>
    <row r="28" spans="1:5" ht="17.25" customHeight="1" x14ac:dyDescent="0.35">
      <c r="A28" s="85"/>
      <c r="B28" s="91"/>
      <c r="C28" s="26"/>
      <c r="D28" s="27"/>
      <c r="E28" s="109"/>
    </row>
    <row r="29" spans="1:5" ht="18" x14ac:dyDescent="0.25">
      <c r="A29" s="85"/>
      <c r="B29" s="143" t="s">
        <v>73</v>
      </c>
      <c r="C29" s="144"/>
      <c r="D29" s="27"/>
      <c r="E29" s="109"/>
    </row>
    <row r="30" spans="1:5" ht="18" x14ac:dyDescent="0.25">
      <c r="A30" s="85"/>
      <c r="B30" s="143" t="s">
        <v>74</v>
      </c>
      <c r="C30" s="144"/>
      <c r="D30" s="27"/>
      <c r="E30" s="109"/>
    </row>
    <row r="31" spans="1:5" ht="18" x14ac:dyDescent="0.25">
      <c r="A31" s="85"/>
      <c r="B31" s="143" t="s">
        <v>75</v>
      </c>
      <c r="C31" s="145"/>
      <c r="D31" s="27"/>
      <c r="E31" s="109"/>
    </row>
    <row r="32" spans="1:5" ht="18" x14ac:dyDescent="0.25">
      <c r="A32" s="85"/>
      <c r="B32" s="143"/>
      <c r="C32" s="145"/>
      <c r="D32" s="27"/>
      <c r="E32" s="109"/>
    </row>
    <row r="33" spans="1:6" ht="18" x14ac:dyDescent="0.25">
      <c r="A33" s="85"/>
      <c r="B33" s="143"/>
      <c r="C33" s="145"/>
      <c r="D33" s="27"/>
      <c r="E33" s="109"/>
    </row>
    <row r="34" spans="1:6" ht="18" x14ac:dyDescent="0.25">
      <c r="A34" s="85"/>
      <c r="B34" s="143"/>
      <c r="C34" s="145"/>
      <c r="D34" s="27"/>
      <c r="E34" s="109"/>
    </row>
    <row r="35" spans="1:6" ht="18" x14ac:dyDescent="0.25">
      <c r="A35" s="85"/>
      <c r="B35" s="143"/>
      <c r="C35" s="145"/>
      <c r="D35" s="27"/>
      <c r="E35" s="109"/>
    </row>
    <row r="36" spans="1:6" ht="18" x14ac:dyDescent="0.25">
      <c r="A36" s="85"/>
      <c r="B36" s="143"/>
      <c r="C36" s="145"/>
      <c r="D36" s="27"/>
      <c r="E36" s="109"/>
    </row>
    <row r="37" spans="1:6" ht="18" x14ac:dyDescent="0.25">
      <c r="A37" s="85"/>
      <c r="B37" s="143"/>
      <c r="C37" s="145"/>
      <c r="D37" s="27"/>
      <c r="E37" s="109"/>
    </row>
    <row r="38" spans="1:6" x14ac:dyDescent="0.25">
      <c r="A38" s="85"/>
      <c r="B38" s="146"/>
      <c r="C38" s="146"/>
      <c r="D38" s="147"/>
      <c r="E38" s="148"/>
    </row>
    <row r="39" spans="1:6" x14ac:dyDescent="0.25">
      <c r="A39" s="85"/>
      <c r="B39" s="26" t="s">
        <v>76</v>
      </c>
      <c r="C39" s="26"/>
      <c r="D39" s="27"/>
      <c r="E39" s="109"/>
    </row>
    <row r="40" spans="1:6" x14ac:dyDescent="0.25">
      <c r="A40" s="85"/>
      <c r="B40" s="149" t="s">
        <v>77</v>
      </c>
      <c r="C40" s="26"/>
      <c r="D40" s="27"/>
      <c r="E40" s="109"/>
    </row>
    <row r="41" spans="1:6" x14ac:dyDescent="0.25">
      <c r="A41" s="85"/>
      <c r="B41" s="26" t="s">
        <v>78</v>
      </c>
      <c r="C41" s="26"/>
      <c r="D41" s="27"/>
      <c r="E41" s="109"/>
    </row>
    <row r="42" spans="1:6" x14ac:dyDescent="0.25">
      <c r="A42" s="85"/>
      <c r="B42" s="26"/>
      <c r="C42" s="26"/>
      <c r="D42" s="27"/>
      <c r="E42" s="109"/>
    </row>
    <row r="43" spans="1:6" x14ac:dyDescent="0.25">
      <c r="A43" s="85"/>
      <c r="B43" s="26" t="s">
        <v>79</v>
      </c>
      <c r="C43" s="27" t="s">
        <v>80</v>
      </c>
      <c r="D43" s="109"/>
      <c r="E43" s="1"/>
    </row>
    <row r="44" spans="1:6" s="1" customFormat="1" ht="12.75" customHeight="1" x14ac:dyDescent="0.25">
      <c r="A44" s="85"/>
      <c r="B44" s="26"/>
      <c r="C44" s="150" t="s">
        <v>81</v>
      </c>
      <c r="D44" s="109"/>
    </row>
    <row r="45" spans="1:6" x14ac:dyDescent="0.25">
      <c r="A45" s="85"/>
      <c r="B45" s="26"/>
      <c r="C45" s="26"/>
      <c r="D45" s="27"/>
      <c r="E45" s="109"/>
    </row>
    <row r="46" spans="1:6" x14ac:dyDescent="0.25">
      <c r="A46" s="85"/>
      <c r="B46" s="26"/>
      <c r="C46" s="26"/>
      <c r="D46" s="27"/>
      <c r="E46" s="109"/>
    </row>
    <row r="47" spans="1:6" x14ac:dyDescent="0.25">
      <c r="A47" s="85"/>
      <c r="B47" s="26"/>
      <c r="C47" s="26"/>
      <c r="D47" s="27"/>
      <c r="E47" s="109"/>
    </row>
    <row r="48" spans="1:6" ht="18.75" x14ac:dyDescent="0.3">
      <c r="A48" s="85"/>
      <c r="B48" s="117" t="s">
        <v>38</v>
      </c>
      <c r="C48" s="129"/>
      <c r="D48" s="129"/>
      <c r="E48" s="87"/>
      <c r="F48" s="2"/>
    </row>
    <row r="49" spans="1:6" ht="12" customHeight="1" x14ac:dyDescent="0.25">
      <c r="A49" s="85"/>
      <c r="B49" s="92" t="s">
        <v>53</v>
      </c>
      <c r="C49" s="129"/>
      <c r="D49" s="129"/>
      <c r="E49" s="55" t="s">
        <v>40</v>
      </c>
      <c r="F49" s="54"/>
    </row>
    <row r="50" spans="1:6" ht="12.75" customHeight="1" x14ac:dyDescent="0.25">
      <c r="A50" s="85"/>
      <c r="B50" s="129" t="s">
        <v>41</v>
      </c>
      <c r="C50" s="129"/>
      <c r="D50" s="129"/>
      <c r="E50" s="130"/>
      <c r="F50" s="54"/>
    </row>
    <row r="51" spans="1:6" ht="13.5" customHeight="1" x14ac:dyDescent="0.25">
      <c r="A51" s="85"/>
      <c r="B51" s="129" t="s">
        <v>42</v>
      </c>
      <c r="C51" s="92"/>
      <c r="D51" s="129"/>
      <c r="E51" s="132" t="s">
        <v>43</v>
      </c>
    </row>
    <row r="52" spans="1:6" x14ac:dyDescent="0.25">
      <c r="B52" s="92"/>
      <c r="C52" s="92"/>
      <c r="D52" s="92"/>
      <c r="E52" s="56" t="s">
        <v>44</v>
      </c>
    </row>
  </sheetData>
  <hyperlinks>
    <hyperlink ref="E51" r:id="rId1" xr:uid="{00000000-0004-0000-0400-000000000000}"/>
    <hyperlink ref="E52" r:id="rId2" xr:uid="{00000000-0004-0000-0400-000001000000}"/>
  </hyperlinks>
  <pageMargins left="0.70833333333333304" right="0.70833333333333304" top="0.74791666666666701" bottom="0.74791666666666701" header="0.511811023622047" footer="0.511811023622047"/>
  <pageSetup paperSize="9" scale="80" orientation="portrait" horizontalDpi="300" verticalDpi="300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7:G65"/>
  <sheetViews>
    <sheetView topLeftCell="A22" zoomScaleNormal="100" workbookViewId="0">
      <selection activeCell="A26" sqref="A26"/>
    </sheetView>
  </sheetViews>
  <sheetFormatPr baseColWidth="10" defaultColWidth="8.7109375" defaultRowHeight="15" x14ac:dyDescent="0.25"/>
  <cols>
    <col min="1" max="5" width="11.42578125" customWidth="1"/>
    <col min="6" max="6" width="31.42578125" customWidth="1"/>
    <col min="7" max="7" width="30.42578125" customWidth="1"/>
    <col min="8" max="256" width="11.42578125" customWidth="1"/>
  </cols>
  <sheetData>
    <row r="7" spans="1:7" x14ac:dyDescent="0.25">
      <c r="A7" s="151"/>
      <c r="B7" s="151"/>
      <c r="C7" s="151"/>
      <c r="D7" s="151"/>
      <c r="E7" s="151"/>
      <c r="F7" s="151"/>
      <c r="G7" s="151"/>
    </row>
    <row r="8" spans="1:7" ht="36" x14ac:dyDescent="0.55000000000000004">
      <c r="A8" s="152"/>
      <c r="B8" s="153"/>
      <c r="C8" s="154"/>
      <c r="D8" s="154"/>
      <c r="E8" s="154" t="s">
        <v>82</v>
      </c>
      <c r="F8" s="153"/>
      <c r="G8" s="155"/>
    </row>
    <row r="9" spans="1:7" ht="21" x14ac:dyDescent="0.35">
      <c r="A9" s="156" t="s">
        <v>83</v>
      </c>
      <c r="B9" s="157"/>
      <c r="C9" s="157"/>
      <c r="D9" s="157"/>
      <c r="E9" s="157"/>
      <c r="F9" s="158"/>
      <c r="G9" s="159" t="str">
        <f>factura!E5</f>
        <v>Nº:</v>
      </c>
    </row>
    <row r="10" spans="1:7" ht="21" x14ac:dyDescent="0.35">
      <c r="A10" s="160"/>
      <c r="B10" s="161"/>
      <c r="C10" s="161"/>
      <c r="D10" s="161"/>
      <c r="E10" s="161"/>
      <c r="F10" s="162"/>
      <c r="G10" s="159" t="str">
        <f>factura!E6</f>
        <v>FECHA:26/12/2025</v>
      </c>
    </row>
    <row r="11" spans="1:7" ht="18.75" x14ac:dyDescent="0.3">
      <c r="A11" s="163" t="s">
        <v>84</v>
      </c>
      <c r="B11" s="157"/>
      <c r="C11" s="157"/>
      <c r="D11" s="164"/>
      <c r="E11" s="93"/>
      <c r="F11" s="93" t="str">
        <f>'Hoja Entrega Transporte'!C23</f>
        <v/>
      </c>
      <c r="G11" s="165" t="str">
        <f>'Hoja Entrega Transporte'!E23</f>
        <v/>
      </c>
    </row>
    <row r="12" spans="1:7" ht="18.75" x14ac:dyDescent="0.3">
      <c r="A12" s="166" t="s">
        <v>85</v>
      </c>
      <c r="B12" s="167"/>
      <c r="C12" s="167"/>
      <c r="D12" s="168"/>
      <c r="E12" s="169"/>
      <c r="F12" s="169"/>
      <c r="G12" s="170"/>
    </row>
    <row r="13" spans="1:7" ht="18.75" x14ac:dyDescent="0.3">
      <c r="A13" s="166" t="s">
        <v>86</v>
      </c>
      <c r="B13" s="167"/>
      <c r="C13" s="167"/>
      <c r="D13" s="168"/>
      <c r="E13" s="169"/>
      <c r="F13" s="169"/>
      <c r="G13" s="170"/>
    </row>
    <row r="14" spans="1:7" x14ac:dyDescent="0.25">
      <c r="A14" s="129"/>
      <c r="B14" s="129"/>
      <c r="C14" s="129"/>
      <c r="D14" s="129"/>
      <c r="E14" s="129"/>
      <c r="F14" s="129"/>
      <c r="G14" s="129"/>
    </row>
    <row r="15" spans="1:7" ht="18.75" x14ac:dyDescent="0.3">
      <c r="A15" s="171" t="s">
        <v>87</v>
      </c>
      <c r="B15" s="129"/>
      <c r="C15" s="129"/>
      <c r="D15" s="129"/>
      <c r="E15" s="129"/>
      <c r="F15" s="129"/>
      <c r="G15" s="129"/>
    </row>
    <row r="16" spans="1:7" ht="18.75" x14ac:dyDescent="0.3">
      <c r="A16" s="171" t="s">
        <v>88</v>
      </c>
      <c r="B16" s="129"/>
      <c r="C16" s="129"/>
      <c r="D16" s="129"/>
      <c r="E16" s="129"/>
      <c r="F16" s="129"/>
      <c r="G16" s="129"/>
    </row>
    <row r="17" spans="1:7" ht="18.75" x14ac:dyDescent="0.3">
      <c r="A17" s="171"/>
      <c r="B17" s="129"/>
      <c r="C17" s="129"/>
      <c r="D17" s="129"/>
      <c r="E17" s="129"/>
      <c r="F17" s="129"/>
      <c r="G17" s="129"/>
    </row>
    <row r="18" spans="1:7" x14ac:dyDescent="0.25">
      <c r="A18" s="129"/>
      <c r="B18" s="129"/>
      <c r="C18" s="129"/>
      <c r="D18" s="129"/>
      <c r="E18" s="129"/>
      <c r="F18" s="129"/>
      <c r="G18" s="129"/>
    </row>
    <row r="19" spans="1:7" ht="21" x14ac:dyDescent="0.35">
      <c r="A19" s="172" t="s">
        <v>89</v>
      </c>
      <c r="B19" s="173"/>
      <c r="C19" s="173"/>
      <c r="D19" s="173"/>
      <c r="E19" s="173"/>
      <c r="F19" s="173"/>
      <c r="G19" s="173"/>
    </row>
    <row r="20" spans="1:7" x14ac:dyDescent="0.25">
      <c r="A20" s="129"/>
      <c r="B20" s="129"/>
      <c r="C20" s="129"/>
      <c r="D20" s="129"/>
      <c r="E20" s="129"/>
      <c r="F20" s="129"/>
      <c r="G20" s="129"/>
    </row>
    <row r="21" spans="1:7" ht="21" x14ac:dyDescent="0.35">
      <c r="A21" s="174" t="s">
        <v>90</v>
      </c>
      <c r="B21" s="174"/>
      <c r="C21" s="174"/>
      <c r="D21" s="174"/>
      <c r="E21" s="174"/>
      <c r="F21" s="174"/>
      <c r="G21" s="129"/>
    </row>
    <row r="22" spans="1:7" ht="21" x14ac:dyDescent="0.35">
      <c r="A22" s="174" t="s">
        <v>91</v>
      </c>
      <c r="B22" s="174"/>
      <c r="C22" s="174"/>
      <c r="D22" s="174"/>
      <c r="E22" s="174"/>
      <c r="F22" s="174"/>
      <c r="G22" s="129"/>
    </row>
    <row r="23" spans="1:7" ht="21" x14ac:dyDescent="0.35">
      <c r="A23" s="174"/>
      <c r="B23" s="174"/>
      <c r="C23" s="174"/>
      <c r="D23" s="174"/>
      <c r="E23" s="174"/>
      <c r="F23" s="174"/>
      <c r="G23" s="129"/>
    </row>
    <row r="24" spans="1:7" ht="21" x14ac:dyDescent="0.35">
      <c r="A24" s="174" t="s">
        <v>92</v>
      </c>
      <c r="B24" s="174"/>
      <c r="C24" s="174"/>
      <c r="D24" s="174"/>
      <c r="E24" s="174"/>
      <c r="F24" s="174"/>
      <c r="G24" s="129"/>
    </row>
    <row r="25" spans="1:7" ht="21" x14ac:dyDescent="0.35">
      <c r="A25" s="174"/>
      <c r="B25" s="174"/>
      <c r="C25" s="174"/>
      <c r="D25" s="174"/>
      <c r="E25" s="174"/>
      <c r="F25" s="174"/>
      <c r="G25" s="129"/>
    </row>
    <row r="26" spans="1:7" ht="21" x14ac:dyDescent="0.35">
      <c r="A26" s="174" t="s">
        <v>93</v>
      </c>
      <c r="B26" s="174"/>
      <c r="C26" s="174"/>
      <c r="D26" s="174"/>
      <c r="E26" s="174"/>
      <c r="F26" s="174"/>
      <c r="G26" s="129"/>
    </row>
    <row r="27" spans="1:7" ht="21" x14ac:dyDescent="0.35">
      <c r="A27" s="174"/>
      <c r="B27" s="174" t="s">
        <v>94</v>
      </c>
      <c r="C27" s="174"/>
      <c r="D27" s="174"/>
      <c r="E27" s="174"/>
      <c r="F27" s="174"/>
      <c r="G27" s="129"/>
    </row>
    <row r="28" spans="1:7" ht="21" x14ac:dyDescent="0.35">
      <c r="A28" s="174"/>
      <c r="B28" s="174" t="s">
        <v>95</v>
      </c>
      <c r="C28" s="174"/>
      <c r="D28" s="174"/>
      <c r="E28" s="174"/>
      <c r="F28" s="174"/>
      <c r="G28" s="129"/>
    </row>
    <row r="29" spans="1:7" ht="21" x14ac:dyDescent="0.35">
      <c r="A29" s="174"/>
      <c r="B29" s="174" t="s">
        <v>96</v>
      </c>
      <c r="C29" s="174"/>
      <c r="D29" s="174"/>
      <c r="E29" s="174"/>
      <c r="F29" s="174"/>
      <c r="G29" s="129"/>
    </row>
    <row r="30" spans="1:7" ht="21" x14ac:dyDescent="0.35">
      <c r="A30" s="174" t="s">
        <v>97</v>
      </c>
      <c r="B30" s="174"/>
      <c r="C30" s="174"/>
      <c r="D30" s="174"/>
      <c r="E30" s="174"/>
      <c r="F30" s="174"/>
      <c r="G30" s="129"/>
    </row>
    <row r="31" spans="1:7" ht="21" x14ac:dyDescent="0.35">
      <c r="A31" s="174" t="s">
        <v>98</v>
      </c>
      <c r="B31" s="174"/>
      <c r="C31" s="174"/>
      <c r="D31" s="174"/>
      <c r="E31" s="174"/>
      <c r="F31" s="174"/>
      <c r="G31" s="129"/>
    </row>
    <row r="32" spans="1:7" ht="21" x14ac:dyDescent="0.35">
      <c r="A32" s="174"/>
      <c r="B32" s="174"/>
      <c r="C32" s="174"/>
      <c r="D32" s="174"/>
      <c r="E32" s="174"/>
      <c r="F32" s="174"/>
      <c r="G32" s="129"/>
    </row>
    <row r="33" spans="1:7" ht="21" x14ac:dyDescent="0.35">
      <c r="A33" s="174"/>
      <c r="B33" s="174"/>
      <c r="C33" s="174"/>
      <c r="D33" s="174"/>
      <c r="E33" s="174"/>
      <c r="F33" s="174"/>
      <c r="G33" s="129"/>
    </row>
    <row r="34" spans="1:7" ht="18.75" x14ac:dyDescent="0.3">
      <c r="A34" s="171"/>
      <c r="B34" s="129"/>
      <c r="C34" s="129"/>
      <c r="D34" s="129"/>
      <c r="E34" s="129"/>
      <c r="F34" s="129"/>
      <c r="G34" s="129"/>
    </row>
    <row r="35" spans="1:7" ht="21" x14ac:dyDescent="0.35">
      <c r="A35" s="174" t="s">
        <v>99</v>
      </c>
      <c r="B35" s="174"/>
      <c r="C35" s="174"/>
      <c r="D35" s="174"/>
      <c r="E35" s="174"/>
      <c r="F35" s="174" t="s">
        <v>100</v>
      </c>
      <c r="G35" s="174"/>
    </row>
    <row r="36" spans="1:7" ht="21" x14ac:dyDescent="0.35">
      <c r="A36" s="174"/>
      <c r="B36" s="174"/>
      <c r="C36" s="174"/>
      <c r="D36" s="174"/>
      <c r="E36" s="174"/>
      <c r="F36" s="174"/>
      <c r="G36" s="174"/>
    </row>
    <row r="37" spans="1:7" ht="21" x14ac:dyDescent="0.35">
      <c r="A37" s="174"/>
      <c r="B37" s="174"/>
      <c r="C37" s="174"/>
      <c r="D37" s="174"/>
      <c r="E37" s="174"/>
      <c r="F37" s="174"/>
      <c r="G37" s="174"/>
    </row>
    <row r="38" spans="1:7" ht="21" x14ac:dyDescent="0.35">
      <c r="A38" s="174" t="s">
        <v>101</v>
      </c>
      <c r="B38" s="174"/>
      <c r="C38" s="174"/>
      <c r="D38" s="174"/>
      <c r="E38" s="174"/>
      <c r="F38" s="174"/>
      <c r="G38" s="174"/>
    </row>
    <row r="39" spans="1:7" ht="21" x14ac:dyDescent="0.35">
      <c r="A39" s="174" t="s">
        <v>102</v>
      </c>
      <c r="B39" s="174"/>
      <c r="C39" s="174"/>
      <c r="D39" s="174"/>
      <c r="E39" s="174"/>
      <c r="F39" s="174"/>
      <c r="G39" s="174"/>
    </row>
    <row r="40" spans="1:7" ht="21" x14ac:dyDescent="0.35">
      <c r="A40" s="174"/>
      <c r="B40" s="174"/>
      <c r="C40" s="174"/>
      <c r="D40" s="174"/>
      <c r="E40" s="174"/>
      <c r="F40" s="174"/>
      <c r="G40" s="174"/>
    </row>
    <row r="41" spans="1:7" ht="21" x14ac:dyDescent="0.35">
      <c r="A41" s="174"/>
      <c r="B41" s="174"/>
      <c r="C41" s="174"/>
      <c r="D41" s="174"/>
      <c r="E41" s="174"/>
      <c r="F41" s="174"/>
      <c r="G41" s="174"/>
    </row>
    <row r="42" spans="1:7" x14ac:dyDescent="0.25">
      <c r="A42" s="129"/>
      <c r="B42" s="129"/>
      <c r="C42" s="129"/>
      <c r="D42" s="129"/>
      <c r="E42" s="129"/>
      <c r="F42" s="129"/>
      <c r="G42" s="129"/>
    </row>
    <row r="43" spans="1:7" ht="31.5" x14ac:dyDescent="0.5">
      <c r="A43" s="175" t="s">
        <v>103</v>
      </c>
      <c r="B43" s="176"/>
      <c r="C43" s="176"/>
      <c r="D43" s="176"/>
      <c r="E43" s="176"/>
      <c r="F43" s="176"/>
      <c r="G43" s="177"/>
    </row>
    <row r="44" spans="1:7" ht="18.75" x14ac:dyDescent="0.3">
      <c r="A44" s="178" t="s">
        <v>104</v>
      </c>
      <c r="B44" s="179"/>
      <c r="C44" s="178" t="s">
        <v>105</v>
      </c>
      <c r="D44" s="179"/>
      <c r="E44" s="180" t="s">
        <v>106</v>
      </c>
      <c r="F44" s="124"/>
      <c r="G44" s="179"/>
    </row>
    <row r="45" spans="1:7" ht="15.75" x14ac:dyDescent="0.25">
      <c r="A45" s="181" t="s">
        <v>107</v>
      </c>
      <c r="B45" s="182"/>
      <c r="C45" s="181" t="s">
        <v>108</v>
      </c>
      <c r="D45" s="182"/>
      <c r="E45" s="183" t="s">
        <v>73</v>
      </c>
      <c r="F45" s="184"/>
      <c r="G45" s="185"/>
    </row>
    <row r="46" spans="1:7" ht="15.75" x14ac:dyDescent="0.25">
      <c r="A46" s="181"/>
      <c r="B46" s="182"/>
      <c r="C46" s="181"/>
      <c r="D46" s="182"/>
      <c r="E46" s="183" t="s">
        <v>109</v>
      </c>
      <c r="F46" s="184"/>
      <c r="G46" s="185"/>
    </row>
    <row r="47" spans="1:7" ht="15.75" x14ac:dyDescent="0.25">
      <c r="A47" s="186"/>
      <c r="B47" s="187"/>
      <c r="C47" s="186"/>
      <c r="D47" s="187"/>
      <c r="E47" s="188" t="s">
        <v>110</v>
      </c>
      <c r="F47" s="189"/>
      <c r="G47" s="190"/>
    </row>
    <row r="48" spans="1:7" x14ac:dyDescent="0.25">
      <c r="A48" s="129"/>
      <c r="B48" s="129"/>
      <c r="C48" s="129"/>
      <c r="D48" s="129"/>
      <c r="E48" s="129"/>
      <c r="F48" s="129"/>
      <c r="G48" s="129"/>
    </row>
    <row r="49" spans="1:7" x14ac:dyDescent="0.25">
      <c r="A49" s="129"/>
      <c r="B49" s="129"/>
      <c r="C49" s="129"/>
      <c r="D49" s="129"/>
      <c r="E49" s="129"/>
      <c r="F49" s="129"/>
      <c r="G49" s="129"/>
    </row>
    <row r="50" spans="1:7" x14ac:dyDescent="0.25">
      <c r="A50" s="129"/>
      <c r="B50" s="129"/>
      <c r="C50" s="129"/>
      <c r="D50" s="129"/>
      <c r="E50" s="129"/>
      <c r="F50" s="129"/>
      <c r="G50" s="129"/>
    </row>
    <row r="51" spans="1:7" x14ac:dyDescent="0.25">
      <c r="A51" s="129"/>
      <c r="B51" s="129"/>
      <c r="C51" s="129"/>
      <c r="D51" s="129"/>
      <c r="E51" s="129"/>
      <c r="F51" s="129"/>
      <c r="G51" s="129"/>
    </row>
    <row r="52" spans="1:7" x14ac:dyDescent="0.25">
      <c r="A52" s="129"/>
      <c r="B52" s="129"/>
      <c r="C52" s="129"/>
      <c r="D52" s="129"/>
      <c r="E52" s="129"/>
      <c r="F52" s="129"/>
      <c r="G52" s="129"/>
    </row>
    <row r="53" spans="1:7" x14ac:dyDescent="0.25">
      <c r="A53" s="129"/>
      <c r="B53" s="129"/>
      <c r="C53" s="129"/>
      <c r="D53" s="129"/>
      <c r="E53" s="129"/>
      <c r="F53" s="129"/>
      <c r="G53" s="129"/>
    </row>
    <row r="54" spans="1:7" x14ac:dyDescent="0.25">
      <c r="A54" s="129"/>
      <c r="B54" s="129"/>
      <c r="C54" s="129"/>
      <c r="D54" s="129"/>
      <c r="E54" s="129"/>
      <c r="F54" s="129"/>
      <c r="G54" s="129"/>
    </row>
    <row r="55" spans="1:7" x14ac:dyDescent="0.25">
      <c r="A55" s="129"/>
      <c r="B55" s="129"/>
      <c r="C55" s="129"/>
      <c r="D55" s="129"/>
      <c r="E55" s="129"/>
      <c r="F55" s="129"/>
      <c r="G55" s="129"/>
    </row>
    <row r="56" spans="1:7" x14ac:dyDescent="0.25">
      <c r="A56" s="129"/>
      <c r="B56" s="129"/>
      <c r="C56" s="129"/>
      <c r="D56" s="129"/>
      <c r="E56" s="129"/>
      <c r="F56" s="129"/>
      <c r="G56" s="129"/>
    </row>
    <row r="57" spans="1:7" x14ac:dyDescent="0.25">
      <c r="A57" s="129"/>
      <c r="B57" s="129"/>
      <c r="C57" s="129"/>
      <c r="D57" s="129"/>
      <c r="E57" s="129"/>
      <c r="F57" s="129"/>
      <c r="G57" s="129"/>
    </row>
    <row r="58" spans="1:7" x14ac:dyDescent="0.25">
      <c r="A58" s="129"/>
      <c r="B58" s="129"/>
      <c r="C58" s="129"/>
      <c r="D58" s="129"/>
      <c r="E58" s="129"/>
      <c r="F58" s="129"/>
      <c r="G58" s="129"/>
    </row>
    <row r="59" spans="1:7" ht="54" customHeight="1" x14ac:dyDescent="0.25">
      <c r="A59" s="129"/>
      <c r="B59" s="129"/>
      <c r="C59" s="129"/>
      <c r="D59" s="129"/>
      <c r="E59" s="129"/>
      <c r="F59" s="129"/>
      <c r="G59" s="129"/>
    </row>
    <row r="60" spans="1:7" ht="25.5" customHeight="1" x14ac:dyDescent="0.25">
      <c r="A60" s="129"/>
      <c r="B60" s="129"/>
      <c r="C60" s="129"/>
      <c r="D60" s="129"/>
      <c r="E60" s="129"/>
      <c r="F60" s="129"/>
      <c r="G60" s="129"/>
    </row>
    <row r="61" spans="1:7" x14ac:dyDescent="0.25">
      <c r="A61" s="129"/>
      <c r="B61" s="129"/>
      <c r="C61" s="129"/>
      <c r="D61" s="129"/>
      <c r="E61" s="129"/>
      <c r="F61" s="129"/>
      <c r="G61" s="129"/>
    </row>
    <row r="62" spans="1:7" ht="25.5" customHeight="1" x14ac:dyDescent="0.25"/>
    <row r="63" spans="1:7" ht="22.5" customHeight="1" x14ac:dyDescent="0.25"/>
    <row r="64" spans="1:7" ht="45" customHeight="1" x14ac:dyDescent="0.25"/>
    <row r="65" ht="33.75" customHeight="1" x14ac:dyDescent="0.25"/>
  </sheetData>
  <pageMargins left="0.70833333333333304" right="0.70833333333333304" top="0.74791666666666701" bottom="0.7479166666666670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zoomScaleNormal="100" workbookViewId="0">
      <selection activeCell="C9" sqref="C9"/>
    </sheetView>
  </sheetViews>
  <sheetFormatPr baseColWidth="10" defaultColWidth="8.7109375" defaultRowHeight="15" x14ac:dyDescent="0.25"/>
  <cols>
    <col min="1" max="1" width="5" customWidth="1"/>
    <col min="2" max="2" width="22.42578125" customWidth="1"/>
    <col min="3" max="3" width="45" customWidth="1"/>
    <col min="4" max="4" width="24.42578125" customWidth="1"/>
    <col min="5" max="5" width="21.140625" customWidth="1"/>
    <col min="6" max="256" width="11.42578125" customWidth="1"/>
  </cols>
  <sheetData>
    <row r="1" spans="1:5" x14ac:dyDescent="0.25">
      <c r="A1" s="151"/>
      <c r="B1" s="151"/>
      <c r="C1" s="151"/>
      <c r="D1" s="151"/>
      <c r="E1" s="151"/>
    </row>
    <row r="2" spans="1:5" ht="33.75" x14ac:dyDescent="0.5">
      <c r="A2" s="151"/>
      <c r="B2" s="191" t="s">
        <v>2</v>
      </c>
      <c r="C2" s="88"/>
      <c r="D2" s="92"/>
      <c r="E2" s="87"/>
    </row>
    <row r="3" spans="1:5" ht="23.25" x14ac:dyDescent="0.35">
      <c r="A3" s="151"/>
      <c r="B3" s="192" t="s">
        <v>3</v>
      </c>
      <c r="C3" s="105" t="str">
        <f>pedido!K9</f>
        <v/>
      </c>
      <c r="D3" s="192" t="s">
        <v>4</v>
      </c>
      <c r="E3" s="193" t="str">
        <f>pedido!M9</f>
        <v/>
      </c>
    </row>
    <row r="4" spans="1:5" ht="23.25" x14ac:dyDescent="0.35">
      <c r="A4" s="151"/>
      <c r="B4" s="192" t="s">
        <v>5</v>
      </c>
      <c r="C4" s="105" t="str">
        <f>pedido!K10</f>
        <v/>
      </c>
      <c r="D4" s="192" t="s">
        <v>6</v>
      </c>
      <c r="E4" s="194" t="str">
        <f>pedido!M10</f>
        <v/>
      </c>
    </row>
    <row r="5" spans="1:5" ht="23.25" x14ac:dyDescent="0.35">
      <c r="A5" s="151"/>
      <c r="B5" s="192" t="s">
        <v>7</v>
      </c>
      <c r="C5" s="105" t="str">
        <f>pedido!K11</f>
        <v/>
      </c>
      <c r="D5" s="192" t="s">
        <v>8</v>
      </c>
      <c r="E5" s="195" t="str">
        <f>pedido!M11</f>
        <v/>
      </c>
    </row>
    <row r="6" spans="1:5" ht="23.25" x14ac:dyDescent="0.35">
      <c r="A6" s="151"/>
      <c r="B6" s="192" t="s">
        <v>9</v>
      </c>
      <c r="C6" s="105" t="str">
        <f>pedido!K12</f>
        <v/>
      </c>
      <c r="D6" s="192" t="s">
        <v>10</v>
      </c>
      <c r="E6" s="193" t="str">
        <f>pedido!M12</f>
        <v/>
      </c>
    </row>
    <row r="7" spans="1:5" ht="23.25" x14ac:dyDescent="0.35">
      <c r="A7" s="151"/>
      <c r="B7" s="192" t="s">
        <v>11</v>
      </c>
      <c r="C7" s="196" t="str">
        <f>pedido!K13</f>
        <v/>
      </c>
      <c r="D7" s="192" t="s">
        <v>12</v>
      </c>
      <c r="E7" s="99" t="str">
        <f>pedido!M13</f>
        <v/>
      </c>
    </row>
    <row r="8" spans="1:5" ht="23.25" x14ac:dyDescent="0.35">
      <c r="A8" s="151"/>
      <c r="B8" s="197"/>
      <c r="C8" s="197"/>
      <c r="D8" s="197"/>
      <c r="E8" s="197"/>
    </row>
    <row r="9" spans="1:5" ht="23.25" x14ac:dyDescent="0.35">
      <c r="A9" s="151"/>
      <c r="B9" s="197" t="s">
        <v>59</v>
      </c>
      <c r="C9" s="197" t="str">
        <f>factura!E5</f>
        <v>Nº:</v>
      </c>
      <c r="D9" s="197" t="str">
        <f>factura!E6</f>
        <v>FECHA:26/12/2025</v>
      </c>
      <c r="E9" s="197"/>
    </row>
    <row r="10" spans="1:5" ht="23.25" x14ac:dyDescent="0.35">
      <c r="A10" s="151"/>
      <c r="B10" s="197"/>
      <c r="C10" s="197"/>
      <c r="D10" s="197"/>
      <c r="E10" s="197"/>
    </row>
    <row r="11" spans="1:5" ht="23.25" x14ac:dyDescent="0.35">
      <c r="A11" s="151"/>
      <c r="B11" s="197" t="s">
        <v>111</v>
      </c>
      <c r="C11" s="198">
        <f>'Hoja Entrega Transporte'!C13</f>
        <v>0</v>
      </c>
      <c r="D11" s="197" t="s">
        <v>112</v>
      </c>
      <c r="E11" s="198"/>
    </row>
    <row r="12" spans="1:5" ht="23.25" x14ac:dyDescent="0.35">
      <c r="A12" s="151"/>
      <c r="B12" s="197"/>
      <c r="C12" s="197"/>
      <c r="D12" s="197"/>
      <c r="E12" s="197"/>
    </row>
    <row r="13" spans="1:5" ht="23.25" x14ac:dyDescent="0.35">
      <c r="A13" s="151"/>
      <c r="B13" s="197" t="s">
        <v>113</v>
      </c>
      <c r="C13" s="198">
        <f>'Hoja Entrega Transporte'!C14</f>
        <v>0</v>
      </c>
      <c r="D13" s="197" t="s">
        <v>114</v>
      </c>
      <c r="E13" s="198">
        <f>'Hoja Entrega Transporte'!C15</f>
        <v>0</v>
      </c>
    </row>
    <row r="14" spans="1:5" x14ac:dyDescent="0.25">
      <c r="A14" s="151"/>
      <c r="B14" s="151"/>
      <c r="C14" s="151"/>
      <c r="D14" s="151"/>
      <c r="E14" s="151"/>
    </row>
    <row r="15" spans="1:5" x14ac:dyDescent="0.25">
      <c r="A15" s="151"/>
      <c r="B15" s="151"/>
      <c r="C15" s="151"/>
      <c r="D15" s="151"/>
      <c r="E15" s="151"/>
    </row>
    <row r="16" spans="1:5" x14ac:dyDescent="0.25">
      <c r="A16" s="151"/>
      <c r="B16" s="151"/>
      <c r="C16" s="151"/>
      <c r="D16" s="151"/>
      <c r="E16" s="151"/>
    </row>
    <row r="17" spans="1:5" x14ac:dyDescent="0.25">
      <c r="A17" s="151"/>
      <c r="B17" s="151"/>
      <c r="C17" s="151"/>
      <c r="D17" s="151"/>
      <c r="E17" s="151"/>
    </row>
    <row r="18" spans="1:5" x14ac:dyDescent="0.25">
      <c r="A18" s="151"/>
      <c r="B18" s="151"/>
      <c r="C18" s="151"/>
      <c r="D18" s="151"/>
      <c r="E18" s="151"/>
    </row>
    <row r="19" spans="1:5" x14ac:dyDescent="0.25">
      <c r="A19" s="151"/>
      <c r="B19" s="151"/>
      <c r="C19" s="151"/>
      <c r="D19" s="151"/>
      <c r="E19" s="151"/>
    </row>
    <row r="20" spans="1:5" x14ac:dyDescent="0.25">
      <c r="A20" s="151"/>
      <c r="B20" s="151"/>
      <c r="C20" s="151"/>
      <c r="D20" s="151"/>
      <c r="E20" s="151"/>
    </row>
    <row r="21" spans="1:5" x14ac:dyDescent="0.25">
      <c r="A21" s="151"/>
      <c r="B21" s="151"/>
      <c r="C21" s="151"/>
      <c r="D21" s="151"/>
      <c r="E21" s="151"/>
    </row>
    <row r="22" spans="1:5" x14ac:dyDescent="0.25">
      <c r="A22" s="151"/>
      <c r="B22" s="151"/>
      <c r="C22" s="151"/>
      <c r="D22" s="151"/>
      <c r="E22" s="151"/>
    </row>
  </sheetData>
  <pageMargins left="0.70833333333333304" right="0.70833333333333304" top="0.74791666666666701" bottom="0.74791666666666701" header="0.511811023622047" footer="0.511811023622047"/>
  <pageSetup paperSize="9" scale="11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proforma</vt:lpstr>
      <vt:lpstr>pedido</vt:lpstr>
      <vt:lpstr>albaran</vt:lpstr>
      <vt:lpstr>factura</vt:lpstr>
      <vt:lpstr>Hoja Entrega Transporte</vt:lpstr>
      <vt:lpstr>Carta de Portes</vt:lpstr>
      <vt:lpstr>etiquetas envio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Norberto Elda</dc:creator>
  <dc:description/>
  <cp:lastModifiedBy>Ignacio Elda</cp:lastModifiedBy>
  <cp:revision>1</cp:revision>
  <dcterms:created xsi:type="dcterms:W3CDTF">2025-06-23T11:43:36Z</dcterms:created>
  <dcterms:modified xsi:type="dcterms:W3CDTF">2026-03-04T10:44:34Z</dcterms:modified>
  <dc:language>es-ES</dc:language>
</cp:coreProperties>
</file>